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FilterLists" sheetId="1" r:id="rId1"/>
    <sheet name="Dashboard" sheetId="2" r:id="rId2"/>
    <sheet name="Dashboard Formula (Reference)" sheetId="3" r:id="rId3"/>
    <sheet name="Client MOM" sheetId="4" r:id="rId4"/>
    <sheet name="Incidents" sheetId="5" r:id="rId5"/>
  </sheets>
  <definedNames>
    <definedName name="_xlnm._FilterDatabase" localSheetId="3" hidden="1">'Client MOM'!$A$1:$I$96</definedName>
    <definedName name="_xlnm._FilterDatabase" localSheetId="4" hidden="1">Incidents!$A$1:$V$356</definedName>
    <definedName name="ClientList">'_FilterLists'!$B$1:$B$48</definedName>
    <definedName name="SubCategoryList">'_FilterLists'!$A$1:$A$28</definedName>
  </definedNames>
  <calcPr calcId="124519" fullCalcOnLoad="1"/>
</workbook>
</file>

<file path=xl/sharedStrings.xml><?xml version="1.0" encoding="utf-8"?>
<sst xmlns="http://schemas.openxmlformats.org/spreadsheetml/2006/main" count="6442" uniqueCount="1634">
  <si>
    <t>All</t>
  </si>
  <si>
    <t>Access control/CCTV/Security System</t>
  </si>
  <si>
    <t>Animal Movement</t>
  </si>
  <si>
    <t>Carpentry</t>
  </si>
  <si>
    <t>Civil</t>
  </si>
  <si>
    <t>Cleaning</t>
  </si>
  <si>
    <t>Compliance and Policy Violations</t>
  </si>
  <si>
    <t>Drinking water</t>
  </si>
  <si>
    <t>Electrical</t>
  </si>
  <si>
    <t>Ergonomic Impacts</t>
  </si>
  <si>
    <t>Food &amp; Beverages</t>
  </si>
  <si>
    <t>HVAC</t>
  </si>
  <si>
    <t>Harm to People</t>
  </si>
  <si>
    <t>Housekeeping</t>
  </si>
  <si>
    <t>Medical Emergencies</t>
  </si>
  <si>
    <t>Natural Disasters</t>
  </si>
  <si>
    <t>Other</t>
  </si>
  <si>
    <t>Others</t>
  </si>
  <si>
    <t>Others (Engineering)</t>
  </si>
  <si>
    <t>Pest Control</t>
  </si>
  <si>
    <t>Plumbing</t>
  </si>
  <si>
    <t>Restroom Cleaning</t>
  </si>
  <si>
    <t>Safety security systems</t>
  </si>
  <si>
    <t>Security System Incidents</t>
  </si>
  <si>
    <t>Theft or Loss</t>
  </si>
  <si>
    <t>Unauthorized Access</t>
  </si>
  <si>
    <t>Vehicle Damage</t>
  </si>
  <si>
    <t>Workplace Violence</t>
  </si>
  <si>
    <t>Algoworks</t>
  </si>
  <si>
    <t>Alight Solutions</t>
  </si>
  <si>
    <t>Alphagrep Securities</t>
  </si>
  <si>
    <t>Apcer Life Sciences India Limited</t>
  </si>
  <si>
    <t>Atkins</t>
  </si>
  <si>
    <t>BAYSTREET ADVISORS PRIVATE LIMITED</t>
  </si>
  <si>
    <t>Baker Hughes</t>
  </si>
  <si>
    <t>Bayer</t>
  </si>
  <si>
    <t>Brillio</t>
  </si>
  <si>
    <t>CBRE D&amp;T</t>
  </si>
  <si>
    <t>Centrient Pharma</t>
  </si>
  <si>
    <t>Circle K</t>
  </si>
  <si>
    <t>Clearwater Analytics</t>
  </si>
  <si>
    <t>DAMAC</t>
  </si>
  <si>
    <t>Dun &amp; Bradstreet</t>
  </si>
  <si>
    <t>ELAN LLP</t>
  </si>
  <si>
    <t>ETS India</t>
  </si>
  <si>
    <t>Fluence</t>
  </si>
  <si>
    <t>Hitachi Systems</t>
  </si>
  <si>
    <t>IAC</t>
  </si>
  <si>
    <t>Midrex</t>
  </si>
  <si>
    <t>Mishcon De Reya</t>
  </si>
  <si>
    <t>Mycom</t>
  </si>
  <si>
    <t>NTT India Private Limited</t>
  </si>
  <si>
    <t>Naviga</t>
  </si>
  <si>
    <t>NetApp</t>
  </si>
  <si>
    <t>Nimbuspay Innovations India Private Limited</t>
  </si>
  <si>
    <t>PWC - Pricewaterhouse Cooper Pvt. Ltd.</t>
  </si>
  <si>
    <t>PricewaterhouseCoopers Service Delivery Center (Kolkata) Private Limited</t>
  </si>
  <si>
    <t>Pubmatic</t>
  </si>
  <si>
    <t>ROHM SEMICONDUCTOR INDIA PRIVATE LIMITED</t>
  </si>
  <si>
    <t>SSandC</t>
  </si>
  <si>
    <t>Sainsbury's</t>
  </si>
  <si>
    <t>Siemens</t>
  </si>
  <si>
    <t>Table Space</t>
  </si>
  <si>
    <t>Teleflex</t>
  </si>
  <si>
    <t>Thermofisher</t>
  </si>
  <si>
    <t>Topsoe India Private Limited</t>
  </si>
  <si>
    <t>Tresvista</t>
  </si>
  <si>
    <t>Trintech</t>
  </si>
  <si>
    <t>Truecaller</t>
  </si>
  <si>
    <t>Unifocus</t>
  </si>
  <si>
    <t>Vialto</t>
  </si>
  <si>
    <t>Voya Global Services Private Limited</t>
  </si>
  <si>
    <t>Wood Mackenzie</t>
  </si>
  <si>
    <t>ZS Associates</t>
  </si>
  <si>
    <t>Zelestra</t>
  </si>
  <si>
    <t>📊 Client Tracker NCR - Dashboard</t>
  </si>
  <si>
    <t>Incident Management &amp; Client Overview | Use dropdown filters below to analyze data</t>
  </si>
  <si>
    <t>🏙 City</t>
  </si>
  <si>
    <t>🏢 Facility</t>
  </si>
  <si>
    <t>📅 Month</t>
  </si>
  <si>
    <t>📂 Category</t>
  </si>
  <si>
    <t>🔧 Sub-Category</t>
  </si>
  <si>
    <t>🚦 Status</t>
  </si>
  <si>
    <t>👥 Client</t>
  </si>
  <si>
    <t>⚠️ Business Impact</t>
  </si>
  <si>
    <t>⏳ Bucket</t>
  </si>
  <si>
    <t>📅 From Date</t>
  </si>
  <si>
    <t>📅 To Date</t>
  </si>
  <si>
    <t>⬆️ Use the dropdown filters above to filter data. Select "All" to show everything. Enter dates in From/To Date cells for date range filtering. Charts and formulas update when you open the file in Excel.</t>
  </si>
  <si>
    <t>TOTAL INCIDENTS</t>
  </si>
  <si>
    <t>OPEN</t>
  </si>
  <si>
    <t>CLOSED</t>
  </si>
  <si>
    <t>IN PROGRESS</t>
  </si>
  <si>
    <t>BUSINESS IMPACT</t>
  </si>
  <si>
    <t>UNIQUE SITES</t>
  </si>
  <si>
    <t>KPI Metric</t>
  </si>
  <si>
    <t>Count</t>
  </si>
  <si>
    <t>Total Incidents</t>
  </si>
  <si>
    <t>Open</t>
  </si>
  <si>
    <t>Closed</t>
  </si>
  <si>
    <t>In Progress</t>
  </si>
  <si>
    <t>Business Impact (Yes)</t>
  </si>
  <si>
    <t>Unique Sites</t>
  </si>
  <si>
    <t>Category</t>
  </si>
  <si>
    <t>Engineering &amp; Building Services</t>
  </si>
  <si>
    <t>Security</t>
  </si>
  <si>
    <t>Operations</t>
  </si>
  <si>
    <t>Health &amp; Safety</t>
  </si>
  <si>
    <t>Traffic &amp; Transport</t>
  </si>
  <si>
    <t>Month</t>
  </si>
  <si>
    <t>Nov'24</t>
  </si>
  <si>
    <t>Dec'24</t>
  </si>
  <si>
    <t>Jan'25</t>
  </si>
  <si>
    <t>Feb'25</t>
  </si>
  <si>
    <t>Mar'25</t>
  </si>
  <si>
    <t>Apr'25</t>
  </si>
  <si>
    <t>May'25</t>
  </si>
  <si>
    <t>Jun'25</t>
  </si>
  <si>
    <t>Jul'25</t>
  </si>
  <si>
    <t>Aug'25</t>
  </si>
  <si>
    <t>Sep'25</t>
  </si>
  <si>
    <t>Oct'25</t>
  </si>
  <si>
    <t>Nov'25</t>
  </si>
  <si>
    <t>Dec'25</t>
  </si>
  <si>
    <t>Jan'26</t>
  </si>
  <si>
    <t>Feb'26</t>
  </si>
  <si>
    <t>Mar'26</t>
  </si>
  <si>
    <t>Status</t>
  </si>
  <si>
    <t>City</t>
  </si>
  <si>
    <t>Gurugram</t>
  </si>
  <si>
    <t>Noida</t>
  </si>
  <si>
    <t>Business Impact</t>
  </si>
  <si>
    <t>Yes</t>
  </si>
  <si>
    <t>No</t>
  </si>
  <si>
    <t>Aging Bucket</t>
  </si>
  <si>
    <t>0 - 5 Days</t>
  </si>
  <si>
    <t>5 - 10 Days</t>
  </si>
  <si>
    <t>10 - 20 Days</t>
  </si>
  <si>
    <t>20 - 30 Days</t>
  </si>
  <si>
    <t>30 + Days</t>
  </si>
  <si>
    <t>Facility</t>
  </si>
  <si>
    <t>DLF 10 B&amp;C</t>
  </si>
  <si>
    <t>Capital City BPTP</t>
  </si>
  <si>
    <t>Cyber Green</t>
  </si>
  <si>
    <t>DLF Tech Park</t>
  </si>
  <si>
    <t>DLF Downtown - Gurgaon</t>
  </si>
  <si>
    <t>Two Horizon</t>
  </si>
  <si>
    <t>DLF 8</t>
  </si>
  <si>
    <t>DLF 6</t>
  </si>
  <si>
    <t>Good Earth Business Bay II</t>
  </si>
  <si>
    <t>Global Gateway</t>
  </si>
  <si>
    <t>DLF 5 A</t>
  </si>
  <si>
    <t>Sub-Category</t>
  </si>
  <si>
    <t>Location</t>
  </si>
  <si>
    <t>Site Name</t>
  </si>
  <si>
    <t>Client Name</t>
  </si>
  <si>
    <t>Client Category</t>
  </si>
  <si>
    <t>TS Suites / TS Managed</t>
  </si>
  <si>
    <t>Floor Details</t>
  </si>
  <si>
    <t>On-going Issues</t>
  </si>
  <si>
    <t>Appreciation</t>
  </si>
  <si>
    <t>Sales Expansion</t>
  </si>
  <si>
    <t>Diamond</t>
  </si>
  <si>
    <t>TS Managed</t>
  </si>
  <si>
    <t>1. Lux level need to be increased on workstation area.</t>
  </si>
  <si>
    <t>2. Faulty Lock to be replace.</t>
  </si>
  <si>
    <t>3. Paint to be done at highlighted areas.</t>
  </si>
  <si>
    <t>DSV</t>
  </si>
  <si>
    <t>BPTP Capital City 11th Floor</t>
  </si>
  <si>
    <t>1. Gypsum cracks need to be re-filled &amp; paint touch required in entire office area.</t>
  </si>
  <si>
    <t>Dedalus</t>
  </si>
  <si>
    <t>BPTP Capital City 12th Floor</t>
  </si>
  <si>
    <t>1. Main Door frame need to be replace with new one.</t>
  </si>
  <si>
    <t>2. Internet issue to be resolved.</t>
  </si>
  <si>
    <t>IBM</t>
  </si>
  <si>
    <t>1. Invoices pertaining to chargeback to be share on timely basis.</t>
  </si>
  <si>
    <t>2. Housekeeping services to be improved.</t>
  </si>
  <si>
    <t>3. Pantry floor mat to be replace.</t>
  </si>
  <si>
    <t>TS Suites</t>
  </si>
  <si>
    <t>BPTP Capital City 13th Floor</t>
  </si>
  <si>
    <t>1. Cleaning to be maintain on a regular basis.</t>
  </si>
  <si>
    <t>Voya</t>
  </si>
  <si>
    <t>1. Coffee machine Breakdown.</t>
  </si>
  <si>
    <t>2. Pantry staff to be available in late night hours.</t>
  </si>
  <si>
    <t>BPTP Capital City 15th Floor</t>
  </si>
  <si>
    <t>1. Internet services to be improve.</t>
  </si>
  <si>
    <t>TS Managed / TS Suites</t>
  </si>
  <si>
    <t>Dayforce</t>
  </si>
  <si>
    <t>1. Drinking water RO to be maintained under AMC.</t>
  </si>
  <si>
    <t>2. Housekeeping service to be maintained.</t>
  </si>
  <si>
    <t>Nimbuspay Innovations</t>
  </si>
  <si>
    <t>"Hi Lipin, Rohit,
I hope you’re doing well.
I would like to take a moment to sincerely thank Pushpendra and his team for their exceptional support and service. I would especially like to acknowledge Pushpendra for his kind, considerate, and attentive approach. He is extremely  proactive and always a call away, played a significant role in ensuring the smooth management of our client visit.
Thank you once again for your dedication and outstanding support. 😊
With Regards
Isha Saxena
Sr. VP- Human Resource
8800940017
Nimbuspay Technologies Inc.
"</t>
  </si>
  <si>
    <t>Switchfly</t>
  </si>
  <si>
    <t>1. GST Plate &amp; Frosting work to be completed on chargeback cost.</t>
  </si>
  <si>
    <t>1. Pantry operations to be monitored.</t>
  </si>
  <si>
    <t>Apcer</t>
  </si>
  <si>
    <t>BPTP Capital City 9th Floor</t>
  </si>
  <si>
    <t>1 Pantries to be set properly every morning.</t>
  </si>
  <si>
    <t>Rohm Semiconductor India Private Limited</t>
  </si>
  <si>
    <t xml:space="preserve">ETS </t>
  </si>
  <si>
    <t>DLF  6, 4th floor</t>
  </si>
  <si>
    <t>Project Related Issues
1. Negative Air pressure due to which doors are not closing properly</t>
  </si>
  <si>
    <t>DLF Cyber City 10B&amp;C, 10th floor</t>
  </si>
  <si>
    <t>Berkadia</t>
  </si>
  <si>
    <t>Housekeeping issues due to staff scarcity during B-Shift</t>
  </si>
  <si>
    <t xml:space="preserve">1. Pest Control </t>
  </si>
  <si>
    <t>2. Housekeeping</t>
  </si>
  <si>
    <t>3. Pantry Services</t>
  </si>
  <si>
    <t>4. Coffee Machine Breakdown</t>
  </si>
  <si>
    <t>5. Housekeeping issues due to staff scarcity during B-Shift</t>
  </si>
  <si>
    <t>1. WC Blocakge Issue</t>
  </si>
  <si>
    <t>2. Linear Light Faulty</t>
  </si>
  <si>
    <t>3. Pantry Cupboard need to be fixed</t>
  </si>
  <si>
    <t>4. Housekeeping issues due to staff scarcity during B-Shift</t>
  </si>
  <si>
    <t>1. Coffee Machine Breakdown</t>
  </si>
  <si>
    <t>2. CCTV Footage access on their domain</t>
  </si>
  <si>
    <t>DLF Cyber City 10B&amp;C, 14th floor</t>
  </si>
  <si>
    <t>Due to water seepage from terrace following activities to be completed:
1. Carpet replacement</t>
  </si>
  <si>
    <t>Due to water seepage from terrace following activities to be completed:
2. Paint work on the wall and ceilings</t>
  </si>
  <si>
    <t>Due to water seepage from terrace following activities to be completed:
3. Negative Air pressure due to which doors are not closing properly</t>
  </si>
  <si>
    <t>Due to water seepage from terrace following activities to be completed:
4. Pantry area cupboard required to be repaired</t>
  </si>
  <si>
    <t>DLF Cyber City 10B&amp;C, 2nd floor</t>
  </si>
  <si>
    <t>1. WC Replacement Required</t>
  </si>
  <si>
    <t>2. Housekeeping issues due to staff scarcity during B-Shift</t>
  </si>
  <si>
    <t>3. Unauthorized parking Issue</t>
  </si>
  <si>
    <t>Graviton</t>
  </si>
  <si>
    <t>DLF Cyber City 10B&amp;C, 3rd floor</t>
  </si>
  <si>
    <t>Resolven</t>
  </si>
  <si>
    <t>Printer restoration (Konika Minolta)</t>
  </si>
  <si>
    <t>Due to Management change they are looking out for their own space</t>
  </si>
  <si>
    <t>1. Wall Paint Required</t>
  </si>
  <si>
    <t>2.Ceiling tile replacement</t>
  </si>
  <si>
    <t>3. Carpet shompooing / replacement for entire floor</t>
  </si>
  <si>
    <t>DLF Cyber City 10B&amp;C, 4th floor</t>
  </si>
  <si>
    <t>1. Carpet shompooing / replacement for entire floor</t>
  </si>
  <si>
    <t>2. Workstation partion replacement</t>
  </si>
  <si>
    <t>3. Wallpaper replacement</t>
  </si>
  <si>
    <t>4. Acustic replacement in cabin, meeting, board-room</t>
  </si>
  <si>
    <t>5. Water seepage on wall due to AHU
6. Housekeeping issues due to staff scarcity during B-Shift</t>
  </si>
  <si>
    <t>6. Housekeeping issues due to staff scarcity during B-Shift</t>
  </si>
  <si>
    <t>DLF Cyber City 10B&amp;C, 5th floor</t>
  </si>
  <si>
    <t>DLF Cyber City 10B&amp;C, 9th floor</t>
  </si>
  <si>
    <t>1. Pest Control</t>
  </si>
  <si>
    <t>Client has asked for additonal Space</t>
  </si>
  <si>
    <t>2. Lobby Lisiting</t>
  </si>
  <si>
    <t>3. Housekeeping issues due to staff scarcity during B-Shift</t>
  </si>
  <si>
    <t>Houlihan Lokey</t>
  </si>
  <si>
    <t>DLF Cyber City 8B, 7th Floor</t>
  </si>
  <si>
    <t>HAT Workstation Hydrolic Issue</t>
  </si>
  <si>
    <t>Leapwork</t>
  </si>
  <si>
    <t>Client Branding on TS Reception</t>
  </si>
  <si>
    <t xml:space="preserve">MY Com </t>
  </si>
  <si>
    <t>Alight</t>
  </si>
  <si>
    <t>DLF Cyber Greens 10th Floor</t>
  </si>
  <si>
    <t>DLF Cyber Greens 8th Floor</t>
  </si>
  <si>
    <t>DLF Cyber Greens 9th Floor</t>
  </si>
  <si>
    <t>Mishcon</t>
  </si>
  <si>
    <t>DLF Down Town, 16th floor</t>
  </si>
  <si>
    <t>Sainsbury</t>
  </si>
  <si>
    <t>Managed</t>
  </si>
  <si>
    <t>DLF Tech Park 6th Floor</t>
  </si>
  <si>
    <t>Hi  Pankaj &amp; Table space team,
I fully echo Gunjan’s thoughts. Your team has been extremely supportive throughout our Board Member/CEO visit.
As I often say, when a vendor–customer relationship goes beyond the contract, it evolves into a true collaboration and a long-term partnership
Regards
Lakki
CFO</t>
  </si>
  <si>
    <t>DLF Tech Park  5th Floor</t>
  </si>
  <si>
    <t>1. Mobile network to be improve in entire office area.</t>
  </si>
  <si>
    <t>"Thanks Pankaj for giving us your full support during HOLI Celebration .Appreciate !!
Regards,	
Rajeev Chaturvedi	
Vice President Capability Centre	
DAMAC SHARED SERVICES INDIA LLP	
India   Mumbai| Noida| Pune	
E: 	Rajeev.chaturvedi@damacsharedservices.com
"</t>
  </si>
  <si>
    <t>Topsoe</t>
  </si>
  <si>
    <t>1.Couple of workstation will be installed in the IT room, and the cost will be borne by TS.\</t>
  </si>
  <si>
    <t>2.The previously shared quotation will be revised for the frosting work, which will be executed on a chargeback basis.</t>
  </si>
  <si>
    <t>3. HRT paper rolls will be provided in place of M-Fold paper towels, and the cost will be borne by TS.</t>
  </si>
  <si>
    <t xml:space="preserve">AP Partners </t>
  </si>
  <si>
    <t>Global Gateway 5th Floor</t>
  </si>
  <si>
    <t>Colgate</t>
  </si>
  <si>
    <t>DS Smith</t>
  </si>
  <si>
    <t>TKWW</t>
  </si>
  <si>
    <t>Good Earth Business Bay - II</t>
  </si>
  <si>
    <t>HEX Advisory</t>
  </si>
  <si>
    <t>Good Earth Business Bay - II, 3rd Floor</t>
  </si>
  <si>
    <t>Baystreet Advisors Private Limited</t>
  </si>
  <si>
    <t>Good Earth Business Bay - II,3rd Floor</t>
  </si>
  <si>
    <t>Terraegis  Clean Tech</t>
  </si>
  <si>
    <t>Diamond, Multi-city</t>
  </si>
  <si>
    <t>BPTP</t>
  </si>
  <si>
    <t>1.The floor tiles in the recreational area will be replaced to maintain safety and aesthetics.</t>
  </si>
  <si>
    <t>2.Access cards will be activated for ZS associates visiting from different cities to ensure smooth entry and movement within the facility.</t>
  </si>
  <si>
    <t>3. Anti-skid tape will be installed in the staircase area to enhance safety and prevent slips or accidents.</t>
  </si>
  <si>
    <t>4.The floor plan will be replaced and updated as per the revised layout.</t>
  </si>
  <si>
    <t>Multi-City</t>
  </si>
  <si>
    <t>1. Suitable temperature to be maintain across office area.</t>
  </si>
  <si>
    <t>Two Horizon 10th Floor</t>
  </si>
  <si>
    <t>1. Invoicing Issue - Parking charged for 3 years in one Invoice</t>
  </si>
  <si>
    <t>Elan</t>
  </si>
  <si>
    <t>1. Water smell issue</t>
  </si>
  <si>
    <t>2. Uneven Flooring</t>
  </si>
  <si>
    <t>1. Uneven Flooring</t>
  </si>
  <si>
    <t>2. Internet Issue - Bad Connectivity</t>
  </si>
  <si>
    <t>PWC</t>
  </si>
  <si>
    <t xml:space="preserve">Date </t>
  </si>
  <si>
    <t>Pending since</t>
  </si>
  <si>
    <t>Bucket</t>
  </si>
  <si>
    <t>Closure Status</t>
  </si>
  <si>
    <t>ID</t>
  </si>
  <si>
    <t>Request #</t>
  </si>
  <si>
    <t>Client</t>
  </si>
  <si>
    <t>Time Of Occurrence</t>
  </si>
  <si>
    <t>Description Of Incident</t>
  </si>
  <si>
    <t>Corrective Action</t>
  </si>
  <si>
    <t>Created By</t>
  </si>
  <si>
    <t>Created At</t>
  </si>
  <si>
    <t>Updated By</t>
  </si>
  <si>
    <t>Updated At</t>
  </si>
  <si>
    <t>09-Mar-26</t>
  </si>
  <si>
    <t>INC_DT16_TBS_2412</t>
  </si>
  <si>
    <t>DLF Downtown - Block 4, Gurugram, 16th Floor</t>
  </si>
  <si>
    <t>What: The server room drain pump stopped working automatically. Due to this, water leakage started from the AC unit and the WLD alarm was activated. REQUESTER - Priyanka Malhotra</t>
  </si>
  <si>
    <t>1. Checked and cleaned the drain tray to remove any dirt, debris, or blockage that was preventing the smooth flow of condensate water. 2.Inspected the drain pump float switch and ensured it was free from obstruction. The float mechanism was reset to enable proper automatic operation. 3.Tested the pump operation in manual and auto modes to confirm functionality and ensure the pump restarts automatically when the water level rises.4.Verified electrical connections and control wiring to eliminate any loose contacts or relay issues.5.Conducted a run test to confirm that condensate water is being pumped out efficiently, with no further accumulation or leakage.6 Monitored the AC unit and WLD panel after restoration to ensure stability and normal operating conditions. - Close</t>
  </si>
  <si>
    <t>Ravi</t>
  </si>
  <si>
    <t>INC_DLFCG8_TBS_2407</t>
  </si>
  <si>
    <t>DLF Cyber Greens - Tower D &amp; E, 8th Floor</t>
  </si>
  <si>
    <t>What: - Cafeteria CSU unit balt broken issue. REQUESTER - Sanjay Kumar</t>
  </si>
  <si>
    <t>05-Mar-26</t>
  </si>
  <si>
    <t>INC_BPTPCC_TBS_2391</t>
  </si>
  <si>
    <t>BPTP Capital City</t>
  </si>
  <si>
    <t>What: A6 alarm is displayed on the thermostat of the server room unit. How: The alarm was triggered due to a communication error between the indoor and outdoor units. REQUESTER - Vishwajeet Kumar</t>
  </si>
  <si>
    <t>The vendor has been aligned to check the issue with the indoor unit. The vendor visited the site and observed that an A6 alarm is being displayed on the thermostat due to a faulty PCB card. The PCB card has been sent for repair by the AMC vendor partner. They have confirmed that the faulty card will be replaced by maximum tomorrow. - Inprogress</t>
  </si>
  <si>
    <t>03-Mar-26</t>
  </si>
  <si>
    <t>INC_BPTPCC_TBS_2383</t>
  </si>
  <si>
    <t>What: 100kVA UPS module fan failure. How: Root Cause Analysis (RCA) is awaited from the vendor. REQUESTER - Vishwajeet Kumar Singh</t>
  </si>
  <si>
    <t>We have highlighted the issue to the OEM Team to fixed the issue permanently also same has been brief for Implement during  preventive maintenance, including cleaning of UPS internal components and periodic inspection of cooling fans.  - Close</t>
  </si>
  <si>
    <t>02-Mar-26</t>
  </si>
  <si>
    <t>INC_DLFCG_TBS_2370</t>
  </si>
  <si>
    <t>DLF Cyber Greens - Tower D &amp; E</t>
  </si>
  <si>
    <t>What: Water leakage from the sprinkler line. How: Sprinkler joint leakage. REQUESTER - Sonu kumar giri</t>
  </si>
  <si>
    <t>We inspected the leakage point and have aligned the project team to resolve the issue. - Close</t>
  </si>
  <si>
    <t>01-Mar-26</t>
  </si>
  <si>
    <t>INC_DLFTP5_TBS_2366</t>
  </si>
  <si>
    <t>DLF Tech Park, 5th Floor</t>
  </si>
  <si>
    <t>What: During a routine inspection, water leakage was noticed from the ceiling on the 5th floor. How: Initial checking shows that the leakage is coming from the 6th floor washroom area, possibly due to a waterproofing problem. REQUESTER - Anoop Singh</t>
  </si>
  <si>
    <t>The project team conducted a detailed inspection of the 6th-floor washroom to identify the cause of the leakage, including checking the plumbing lines, floor trap sealing, and waterproofing. The necessary repairs were carried out, damaged parts were replaced, and re-grouting and waterproofing were completed where required. The area has now been properly sealed to prevent further leakage. - Close</t>
  </si>
  <si>
    <t>27-Feb-26</t>
  </si>
  <si>
    <t>INC_DT16_TBS_2356</t>
  </si>
  <si>
    <t>Construction work was in progress at the DT-4 site, and multiple labourers were working in the area. A fight broke out among the labourers. During the incident, a member of the Innovation team named Praveen was assaulted by several labourers. Requester: Priyanka Malhotra</t>
  </si>
  <si>
    <t>I immediately sent the security supervisor to the back site area and stopped the fight. Praveen was safely brought to the common area reception, and the site team was informed immediately - Close</t>
  </si>
  <si>
    <t>Sree Prabhu</t>
  </si>
  <si>
    <t>25-Feb-26</t>
  </si>
  <si>
    <t>INC_DLF10BF9_TBS_2348</t>
  </si>
  <si>
    <t>water was found overflowing in the Gents' washroom and Handicapped washroom on the 9th floor. The overflow caused water accumulation on the washroom floor. Requester: Jatin Negi</t>
  </si>
  <si>
    <t>The technical team has been informed to check and resolve the issue. The housekeeping team was aligned immediately to clean the affected area and prevent any slip hazards. - Close</t>
  </si>
  <si>
    <t>INC_DLFTP6_TBS_2345</t>
  </si>
  <si>
    <t>DLF Tech Park, 6th Floor</t>
  </si>
  <si>
    <t>False alarm activated Where: TS common area How: Due to smoke detector malfunctioning Requester: Anoop Sing</t>
  </si>
  <si>
    <t>Alarm acknowledges by inhouse team • Team checked and silenced the FAS panel • Visited the location of activation cleaned the smoke detector, and reset the FAS panel • Informed the internal management about the incident • Announcement has been done as per standard speech - Close</t>
  </si>
  <si>
    <t>INC_DLFBCC10_TBS_2341</t>
  </si>
  <si>
    <t>DLF Cyber City - Building No. 10 - Tower B &amp; C, 10th Floor</t>
  </si>
  <si>
    <t>What: 150 kVA UPS module fan failure. REQUESTER - Sonu Kumar Giri</t>
  </si>
  <si>
    <t>We have raised a service ticket and are awaiting the OEM's fan replacement. - Close</t>
  </si>
  <si>
    <t>INC_TBS_2340</t>
  </si>
  <si>
    <t>DLF Cyber Greens - Tower D &amp; E, 2nd Floor</t>
  </si>
  <si>
    <t>What: Water leakage from ceiling in gent's washroom. How: 3rd floor tower d washroom drain line is blocked. REQUESTER - Yastika Sikka</t>
  </si>
  <si>
    <t>The plumber has cleared the drain lines for 3rd floor and water leakage has been resolved for 2nd floor. - Close</t>
  </si>
  <si>
    <t>INC_DLFCG9_TBS_2336</t>
  </si>
  <si>
    <t>DLF Cyber Greens - Tower D &amp; E, 9th Floor</t>
  </si>
  <si>
    <t>Coffee machine milk container is overflowing with water Requester: Vishwajeet Kumar</t>
  </si>
  <si>
    <t>The vendor has fixed the sensor and the container is working properly now. - Close</t>
  </si>
  <si>
    <t>24-Feb-26</t>
  </si>
  <si>
    <t>INC_BPTPCC14_TBS_2335</t>
  </si>
  <si>
    <t>BPTP Capital City, 14th Floor</t>
  </si>
  <si>
    <t>Battery terminal lugs were found damaged. Where : 14th Floor UPS Room How : The issue was identified during a routine inspection of the battery bank. Root Cause Analysis (RCA) is awaited from the OEM vendor. Requester: Vishwajeet Kumar Singh</t>
  </si>
  <si>
    <t>The faulty battery terminal lugs have been replaced by the OEM team.  All battery terminals have been thoroughly cleaned to remove carbon deposits and corrosion.  Proper torque tightening has been carried out strictly as per OEM-recommended standards.  Anti-corrosion petroleum jelly / terminal protective grease has been applied to all terminals to prevent future oxidation and corrosion.  During future PPM (Planned Preventive Maintenance) visits, we will ensure that:  Proper torque tightening is carried out as per OEM specifications.  Tightening is done in our presence to avoid any gaps or loose connections.  A detailed checklist verification is completed before closure of the activity.  We will continue to closely monitor the battery bank condition to prevent recurrence of such issues. have been replaced by the OEM team.  All battery terminals have been cleaned properly.  Proper torque tightening has been carried out as per OEM standards.  Anti-corrosion petroleum jelly / terminal protective grease has been applied.also we have ensured that the OEM team Jab PPM karegi toh usko sahi tarkie se tighneing karayenge aur apne samne karayenge taki koi gap Na ho - Close</t>
  </si>
  <si>
    <t>INC_BPTPCC_TBS_2327</t>
  </si>
  <si>
    <t>What: False fire alarm activated. How: The smoke detector was triggered due to excessive smoke generated when an associate accidentally over-grilled bread in the pantry area. REQUESTER - Vishwajeet</t>
  </si>
  <si>
    <t>The team immediately inspected the fire alarm panel to identify the exact location of activation. The smoke detector was checked and cleaned, and the Fire Alarm System (FAS) panel was reset on the same time,also announcement has been done as TS standard speech.A briefing was conducted with the concerned associate and ZS security personnel to avoid recurrence. also A safety advisory will be circulated to all employees regarding proper use of grilling/toasting equipment and the importance of not leaving appliances unattended.  - Close</t>
  </si>
  <si>
    <t>19-Feb-26</t>
  </si>
  <si>
    <t>INC_DLFTP_TBS_2312</t>
  </si>
  <si>
    <t>What: False alarm activated. How: Due to smoke detector malfunctioning. REQUESTER - Anoop Singh</t>
  </si>
  <si>
    <t>Alarm acknowledge by the inhouse team and team has checked silenced the FAS panel, then team has visited the location where the smoke detector was activated after that clean the smoke detector and reset the FAS panel same has been informed to the internal management as well also Announcement has been done as per TS statndard speech. - Close</t>
  </si>
  <si>
    <t>17-Feb-26</t>
  </si>
  <si>
    <t>INC_DLFCG_TBS_2296</t>
  </si>
  <si>
    <t>What: The valet driver misused the vehicle and made a video/Reel of the vehicle of one of the PwC employees. How: The Valet driver picked up the vehicle to park it in the parking lot and while going to the parking lot he misused the Vehicle by rash driving and shoot a Video/reel as well. REQUESTER - Karan Kamat</t>
  </si>
  <si>
    <t>1. Immediate termination and official Written apology by the valet in front of Cops as this case doesn't fall under FIR, 2. Additional Supervisor added on the site for better supervision, 3. Created SOP for non-negotiation in such cases  - Close</t>
  </si>
  <si>
    <t>INC_DLFBCC10_TBS_2292</t>
  </si>
  <si>
    <t>Fire Alam went off due to project work in common area. REQUESTER - Sonu Kumar Giri</t>
  </si>
  <si>
    <t>The alarm was reset and the area was area was checked the alarm went off due to dust. - Close</t>
  </si>
  <si>
    <t>16-Feb-26</t>
  </si>
  <si>
    <t>INC_DT16_TBS_2286</t>
  </si>
  <si>
    <t>What: Mouse spotted on floor. REQUESTER - Yastika Sikka</t>
  </si>
  <si>
    <t>MST conducted a thorough inspection of all potential entry points through which the mouse could have accessed the premises. One opening near the café shaft was identified as a possible point of entrapment and has since been sealed. Additionally, the pest control vendor has completed the necessary corrective actions and installed additional gum pads in the required areas to prevent recurrence. - Close</t>
  </si>
  <si>
    <t>15-Feb-26</t>
  </si>
  <si>
    <t>INC_DLFTP6_TBS_2278</t>
  </si>
  <si>
    <t>What: A UPS power outage concern was reported by the client via email. How: We have checked with our internal team and found that all system is working fine. However, we have aligned the OEM (Vertiv)team to check the logs during time frame as shared by client and shared the detailed report today EOD. REQUESTER - Vishwajeet kumar singh</t>
  </si>
  <si>
    <t>Internal power status verification completed.  OEM (Vertiv) team site visit conducted.  UPS event logs reviewed for the specified timeframe.  UPS logs shared with the client for transparency and confirmation. - Close</t>
  </si>
  <si>
    <t>14-Feb-26</t>
  </si>
  <si>
    <t>INC_DLFBCC10_TBS_2270</t>
  </si>
  <si>
    <t>Fire Alam went off due to project work in common area. REQUESTER - Yuktha Mathpal</t>
  </si>
  <si>
    <t>12-Feb-26</t>
  </si>
  <si>
    <t>INC_DLFBCC3_TBS_2261</t>
  </si>
  <si>
    <t>DLF Cyber City 10B&amp;C, 3rd Floor</t>
  </si>
  <si>
    <t>What: Fire Alarm Activated. How: Upon inspection, we have checked that the smoke detector BFC is activated in cafeteria near the food counter. REQUESTER - Abhishek Singh</t>
  </si>
  <si>
    <t>we have cleaned the smoke detector and reset the fire panel. Now the FAS is working normal. - Close</t>
  </si>
  <si>
    <t>29-Jan-26</t>
  </si>
  <si>
    <t>INC_TH10_TBS_2242</t>
  </si>
  <si>
    <t>What: Fire line leakage. How: Upon inspection, it was found that the fire line was leaking. Impact: The 10th floor pantry area was affected due to water dripping onto the floor. REQUESTER - Shweta Sharma</t>
  </si>
  <si>
    <t>The issue has been solved, and pressure has been maintained and the same has been informed to builders to maintain the fire Pressure, - Close</t>
  </si>
  <si>
    <t>10-Feb-26</t>
  </si>
  <si>
    <t>INC_BPTPCC12_TBS_2239</t>
  </si>
  <si>
    <t>BPTP Capital City, 12th Floor</t>
  </si>
  <si>
    <t>What: False alarm activated at the IBM office. How: The Manual Call Point (MCP) was mistakenly pulled by an IBM associate, which resulted in the activation of the false alarm. REQUESTER -Vishwajeet Kumar Singh</t>
  </si>
  <si>
    <t>Conduct awareness training for all associates regarding the purpose and usage of Manual Call Points (MCP).  Install clear signage near MCPs stating: “For Emergency Use Only – False Activation is Punishable.”  Share an advisory email with all occupants to prevent recurrence.  Ensure security and floor wardens brief new joiners about fire safety equipment during induction.  Monitor and counsel the concerned individual to avoid repeat incidents. - Close</t>
  </si>
  <si>
    <t>INC_DLF10B2F_TBS_2231</t>
  </si>
  <si>
    <t>What: Microwave is not working. How: Not specified. REQUESTER - Sonu Kumar Giri</t>
  </si>
  <si>
    <t>The in-house team has checked the microwave, and it has been replaced with an existing one kept in spare - Close</t>
  </si>
  <si>
    <t>06-Feb-26</t>
  </si>
  <si>
    <t>INC_DLFBCC10_TBS_2220</t>
  </si>
  <si>
    <t>What: An employee from Zelestra came to the medical room to seek treatment for a dog bite. How: He said that the dog bit him in the parking area outside the building. REQUESTER - Gautami Choithwani</t>
  </si>
  <si>
    <t>The DLF team was informed and neccesary action was taken by them - Close</t>
  </si>
  <si>
    <t>27-Jan-26</t>
  </si>
  <si>
    <t>INC_DT16_TBS_2212</t>
  </si>
  <si>
    <t>What: The Mishcon client contacted the DLF ambulance service only to check whether the ambulance could arrive on time if required. How: The ambulance number was obtained from the reception, and a direct call was made. REQUESTER - Priyanka Malhotra</t>
  </si>
  <si>
    <t>The Mishcon client contacted the DLF ambulance service only to check whether the ambulance could arrive on time if required. How: The ambulance number was obtained from the reception, and a direct call was made. - Close</t>
  </si>
  <si>
    <t>04-Feb-26</t>
  </si>
  <si>
    <t>INC_DLFCG8_TBS_2211</t>
  </si>
  <si>
    <t>What: Water dispenser button broke. How: The button for the Normal water in the dispenser is broken. REQUESTER - Yastika Sikka</t>
  </si>
  <si>
    <t>The button has been fixed and the dispenser is working fine. - Close</t>
  </si>
  <si>
    <t>INC_DLFBCC3_TBS_2210</t>
  </si>
  <si>
    <t>What:  Network connectivity in the Suite 2 of 3rd floor Suites is spotty and low. How: To be determined. REQUESTER - Gautami Choithwani</t>
  </si>
  <si>
    <t>The access points were installed - Close</t>
  </si>
  <si>
    <t>INC_BPTPCC_TBS_2209</t>
  </si>
  <si>
    <t>What:  Bad mouthing of pantry staff with client. How: While doing the service, the pantry boy (Amit Singh) initiated a conversation with the client. He bad mouthed about the previous pantry boy who was designated to the client and stated that he left because the client used to behave inappropriately with the pantry boy. REQUESTER - Auroshikha Das</t>
  </si>
  <si>
    <t>Warning letter issued to the pantry staff (Amit Singh).  Immediate removal from BPTP building to avoid further client discomfort.  Deployment of the pantry staff to another site as disciplinary action. - Close</t>
  </si>
  <si>
    <t>INC_DLFBCC10_TBS_2208</t>
  </si>
  <si>
    <t>What: Water leakage in Gents &amp; Ladies washroom. How: Upon inspection, we have checked water is leaking from the 11th floor. Impact: 10th floor both washroom water is dripping above the washbasin. REQUESTER - Abhishek Singh</t>
  </si>
  <si>
    <t>we have checked the leakage thoroughly and informed to DLF team for permanent resolution. - Close</t>
  </si>
  <si>
    <t>03-Feb-26</t>
  </si>
  <si>
    <t>INC_DLFCC10B14_TBS_2205</t>
  </si>
  <si>
    <t>DLF Cyber City 10B&amp;C, 14th Floor</t>
  </si>
  <si>
    <t>What: PU material leaked from RCC. How: Upon inspection, we have checked the PU is leaking from Terrace. REQUESTER - Abhishek Singh</t>
  </si>
  <si>
    <t>we have checked the leakage thoroughly and with the help of DLF team, cleared PU from carpet and Cabin Glass. - Close</t>
  </si>
  <si>
    <t>INC_DLFBCC10_TBS_2202</t>
  </si>
  <si>
    <t>What: Pest issue was raised by the client. REQUESTER - Gautami Choithwani</t>
  </si>
  <si>
    <t>INC_DLFCC10BC_TBS_2201</t>
  </si>
  <si>
    <t>DLF Cyber City 10B&amp;C</t>
  </si>
  <si>
    <t>What: Pest issue was raised by the client in pantry and cafeteria areas. REQUESTER - Gautami Choithwani</t>
  </si>
  <si>
    <t>02-Feb-26</t>
  </si>
  <si>
    <t>INC_DLF10BF9_TBS_2189</t>
  </si>
  <si>
    <t>What: ACS is not working. How: Upon inspection, we have checked the SMPS is not working. REQUESTER - Abhishek Singh</t>
  </si>
  <si>
    <t>we have checked the SMPS supply and found input voltage is ok but not provided the output voltage. We are aligned the vendor to change the SMPS. - Close</t>
  </si>
  <si>
    <t>28-Jan-26</t>
  </si>
  <si>
    <t>INC_GOBB23_TBS_2167</t>
  </si>
  <si>
    <t>Good Earth Business Bay II, 3rd Floor</t>
  </si>
  <si>
    <t>What: Geyser outlet pipe is damaged. How: Not specified. REQUESTER - Sonu Kumar Giri</t>
  </si>
  <si>
    <t>The in-house team has checked the issue and found the geyser outlet pipe to be damaged. Initially the inhouse team closed the valve to prevent the water leakage and also aligned the project team for replacement of the geyser pipe. - Close</t>
  </si>
  <si>
    <t>INC_DLFCG6_TBS_2163</t>
  </si>
  <si>
    <t>DLF Cyber Greens - Tower D &amp; E, 6th Floor</t>
  </si>
  <si>
    <t>What: Coffee machine and Water dispenser are not working. How:  Power supply issue for the machine and dispenser. REQUESTER - Yastika Sikka</t>
  </si>
  <si>
    <t>On-site MST has temporarily resolved the same. The wiring will be changed by vendor this weekend. - Close</t>
  </si>
  <si>
    <t>INC_TH10_TBS_2160</t>
  </si>
  <si>
    <t>What: Sprinkler line leakage from the SS flexible joint Where: Near pantry area How: Not specified Requester: Sonu</t>
  </si>
  <si>
    <t>The in-house team has checked the water leakage and the building team has been notified to rectify the issue. - Close</t>
  </si>
  <si>
    <t>INC_DLFTP6_TBS_2151</t>
  </si>
  <si>
    <t>What: chair suddenly broken while employee was seated on chair Requester: Pankaj Kumar</t>
  </si>
  <si>
    <t>Defective chair quarantined and replaced; [X] similar chairs inspected with [Y] removed; fasteners retorqued; and asked vendor to replace all the similar types of chairs - Close</t>
  </si>
  <si>
    <t>26-Jan-26</t>
  </si>
  <si>
    <t>INC_DLFCB64_TBS_2148</t>
  </si>
  <si>
    <t>DLF Cyber City, Building 6, 4th Floor</t>
  </si>
  <si>
    <t>What: UPS display is faulty. REQUESTER - Sonu Kumar Giri</t>
  </si>
  <si>
    <t>The in-house team has checked the UPS display, and the UPS vendor has been aligned for repair/resolution. - Close</t>
  </si>
  <si>
    <t>INC_BPTPCC10_TBS_2147</t>
  </si>
  <si>
    <t>BPTP Capital City, 10th Floor</t>
  </si>
  <si>
    <t>What: Police officers visit on operational floor at Republic Day. There was an unannounced visit by police officers in the mentioned premise at BPTP Capital city over a complaint raised through 112 - Police Helpline by Clearwater team stating that the office was operational on a public holiday. The police officers were allowed into the operational floor without any prior intimidation to the Tablespace Administration team . The police officers have further connected with the admin team of Clearwater Analytics and will investigate further in correspondence with the occurred incident. REQUESTER - Auroshikha Das</t>
  </si>
  <si>
    <t>Tenants will be reminded to ensure that all statutory compliance documents, including wage slips, statutory approvals, and holiday declarations, are readily available during public holiday operations. Clearwater Analytics shared employee wage slips and other compliance-related documents with the police. Initial verification confirmed that wage payments and holiday-related compliances were in order. Police officers coordinated directly with the Clearwater administrative team for further review and investigation. - Close</t>
  </si>
  <si>
    <t>25-Jan-26</t>
  </si>
  <si>
    <t>INC_DLFTP5_TBS_2145</t>
  </si>
  <si>
    <t>What: RCCB found melted. How: During the yearly planned shutdown activity, the in-house team inspected the electrical system and identified that the RCCB feeding the Topsoe server rack had melted. REQUESTER - Anoop Singh</t>
  </si>
  <si>
    <t>1-The damaged RCCB was immediately replaced with a new RCCB of the same rating.  2-All terminal connections of the new RCCB were properly tightened as per manufacturer torque specifications.  3-A detailed inspection of the associated server rack power connections was carried out to ensure no further abnormalities.  4-Periodic preventive maintenance checks, including torque verification of critical electrical connections, have been added to the maintenance schedule to prevent recurrence. - Close</t>
  </si>
  <si>
    <t>24-Jan-26</t>
  </si>
  <si>
    <t>INC_DLFCG7_TBS_2141</t>
  </si>
  <si>
    <t>DLF Cyber Greens - Tower D &amp; E, 7th Floor</t>
  </si>
  <si>
    <t>False alarm activated.  What: smoke detector activated. REQUESTER - Yastika Sikka</t>
  </si>
  <si>
    <t>In-house MST checked the smoke detector, which was activated due to dust, now working normal. - Close</t>
  </si>
  <si>
    <t>23-Jan-26</t>
  </si>
  <si>
    <t>INC_DLFCC10B14_TBS_2137</t>
  </si>
  <si>
    <t>Water leakage from the ceiling *Where*:Workstation area *How*: There was the leakage from the terrace Requester: Sonu</t>
  </si>
  <si>
    <t>The in-house team had checked the ceiling and water is coming from the terrace we have informed the Building team to rectify the water leakage issue - Close</t>
  </si>
  <si>
    <t>22-Jan-26</t>
  </si>
  <si>
    <t>INC_BPTPCC15_TBS_2129</t>
  </si>
  <si>
    <t>BPTP Capital City, 15th Floor</t>
  </si>
  <si>
    <t>What: The incident occurred near the car parking lift. How: The associate was standing near the car parking lift and checking his wallet. During that time, the lift button was pressed. The valet service staff assumed that no associate was standing near the lift, which led to the incident and caused a minor scratch injury. The associate sustained a minor scratch on the toes REQUESTER - Vishwajeet Kumar Singh</t>
  </si>
  <si>
    <t>We have highlighted the issue to the builder and clearly said Instruct valet service staff to ensure clear visual confirmation of the lift area before pressing the lift button.  Conduct a safety briefing/training for all valet and support staff on safe lift operation and awareness of surrounding personnel.  Install clear safety signage near the car parking lift area indicating “Check Area Before Operating Lift.”  Assign defined standing zones near the lift to prevent associates from standing too close during operation. - Close</t>
  </si>
  <si>
    <t>20-Jan-26</t>
  </si>
  <si>
    <t>INC_GOBB23_TBS_2124</t>
  </si>
  <si>
    <t>What: Internet connectivity outage. How: Under investigation. REQUESTER - Shweta sharma</t>
  </si>
  <si>
    <t>Aakash Pandey - Close</t>
  </si>
  <si>
    <t>21-Jan-26</t>
  </si>
  <si>
    <t>INC_DLFCG8_TBS_2121</t>
  </si>
  <si>
    <t>false alarm was activated in the dishwasher area due to steam emanating from the dishwasher machine. What: smoke detector activated. REQUESTER - Sanjay Kumar</t>
  </si>
  <si>
    <t>1. In-house MST checked the smoke detector which was activated. 2.
Acknowledged the fire panel. 3.
Cleaned detector, and fixed. 4. The alarm was reset and is now working fine. - Close</t>
  </si>
  <si>
    <t>12-Jan-26</t>
  </si>
  <si>
    <t>INC_BPTPCC_TBS_2079</t>
  </si>
  <si>
    <t>What: An alarm indicating “PM Loss Communication” is appearing on the UPS display. How: Root Cause Analysis (RCA) is awaited from the Numeric OEM team. REQUESTER - Vishwajeet</t>
  </si>
  <si>
    <t>The faulty Power Module was identified and replaced by the OEM service team.  Communication between the UPS controller and the new Power Module was verified and restored.  The UPS was monitored post-replacement and found to be operating normally with no active alarms. - Close</t>
  </si>
  <si>
    <t>INC_BPTPCC11_TBS_2078</t>
  </si>
  <si>
    <t>BPTP Capital City, 11th Floor</t>
  </si>
  <si>
    <t>What: 10 kVA UPS went into bypass mode. How: Root Cause Analysis (RCA) awaited from the Vertiv team. REQUESTER - Viswajeet</t>
  </si>
  <si>
    <t>OEM Inspection &amp; Diagnostics The OEM team was coordinated immediately to diagnose the UPS. System parameters, alarms, and event logs were checked to identify the cause of the bypass mode.  Restoration to Normal Mode With OEM guidance, the UPS was safely switched back from bypass mode to normal online mode without any operational impact.Monitoring &amp; Observation The UPS has been kept under continuous monitoring post-restoration to ensure stable operation and to detect any recurrence of alarms. - Close</t>
  </si>
  <si>
    <t>10-Jan-26</t>
  </si>
  <si>
    <t>INC_DLF10B5_TBS_2077</t>
  </si>
  <si>
    <t>What: Leakage at pantry area from OTG tank How OTG tank is damaged. REQUESTER - Yuktha Mathpal</t>
  </si>
  <si>
    <t>Technical team is taking necessary action for the same. - Close</t>
  </si>
  <si>
    <t>09-Jan-26</t>
  </si>
  <si>
    <t>INC_DLFBCC10_TBS_2074</t>
  </si>
  <si>
    <t>What: Acs is not working. How: Upon inspection, ACS is not working. REQUESTER - Sonu Kumar Giri</t>
  </si>
  <si>
    <t>The in-house team checked the ACS, and he found the ACS SMPS is faulty we are aligned the project team - Close</t>
  </si>
  <si>
    <t>08-Jan-26</t>
  </si>
  <si>
    <t>INC_DLFBCC10_TBS_2072</t>
  </si>
  <si>
    <t>What: False fire alarm triggered. How:  The fire alarm was triggered due to dust accumulation in the smoke detector during acoustic work as vendor was allowed access without a valid work permit, indicating a lapse in security access control procedures. REQUESTER - Jatin Negi</t>
  </si>
  <si>
    <t>False fire alarm triggered. How: The fire alarm was triggered due to dust accumulation in the smoke detector during acoustic work as vendor was allowed access without a valid work permit, indicating a lapse in security access control procedures - Close</t>
  </si>
  <si>
    <t>INC_DLFBCC10_TBS_2067</t>
  </si>
  <si>
    <t>What: UPS DB MCB tripped. How: Upon inspection, the MCB was found tripped. REQUESTER - Sonu Kumar Giri</t>
  </si>
  <si>
    <t>: UPS DB MCB tripped. How: Upon inspection, the MCB was found tripped - Close</t>
  </si>
  <si>
    <t>07-Jan-26</t>
  </si>
  <si>
    <t>INC_DT16_TBS_2064</t>
  </si>
  <si>
    <t>What: - There is a glass chipping mark in the MGCC office. The glass needs to be replaced soon. REQUESTER - Priyanka Malhotra</t>
  </si>
  <si>
    <t>The glass replacement is in progress through the projects team - Inprogress</t>
  </si>
  <si>
    <t>INC_DLFTP6_TBS_2060</t>
  </si>
  <si>
    <t>Fire alarm activated. How: The fire alarm was activated due to dust generated during ongoing project work on the floor. REQUESTER - Anoop Singh</t>
  </si>
  <si>
    <t>Alarm acknowledges by inhouse team • Team checked and silenced the FAS panel • Visited the location of activation cleaned the smoke detector, and reset the FAS panel • Informed the internal management about the incident • Announcement has been done as per standard speech • and instructed the project team to properly cover smoke detectors before starting any dust-generating work. - Close</t>
  </si>
  <si>
    <t>06-Jan-26</t>
  </si>
  <si>
    <t>INC_DT16_TBS_2055</t>
  </si>
  <si>
    <t>Hot water is not coming from the water cooler in the Mishcon office, How: The hot water tap is not working due to a technical issue: REQUESTER - Priyanka Malhotra</t>
  </si>
  <si>
    <t>Hot water is not coming from the water cooler in the Mishcon office, How: The hot water tap is not working due to a technical issue. - Close</t>
  </si>
  <si>
    <t>INC_DLF8B_TBS_2054</t>
  </si>
  <si>
    <t>DLF Cyber City 8B</t>
  </si>
  <si>
    <t>What : Blockage at common area male washroom How :The cause is unidentified, and team is working on it: REQUESTER - Yukta Mathpal</t>
  </si>
  <si>
    <t>The blockage is being cleared and the drainage system is being inspected to prevent recurrence. - Close</t>
  </si>
  <si>
    <t>05-Jan-26</t>
  </si>
  <si>
    <t>INC_DLFBCC10_TBS_2049</t>
  </si>
  <si>
    <t>The access control system on the 10th floor at SS&amp;C was not functioning properly. Cause: The issue occurred due to a technical malfunction in the access control system: REQUESTER - Jatin Negi</t>
  </si>
  <si>
    <t>The access control system on the 10th floor at SS&amp;C was not functioning properly. Cause: The issue occurred due to a technical malfunction in the access control system - Close</t>
  </si>
  <si>
    <t>INC_BPTPCC11_TBS_2048</t>
  </si>
  <si>
    <t>What : Security guard takes 4 Bananas from the client area without permission: REQUESTER - Abhijeet Kumar</t>
  </si>
  <si>
    <t>Toolbox talk / refresher training for all security guards on client property, ethics, and professional behavior.  Clear instruction that client food items are strictly prohibited for staff use without authorization.  Supervisor monitoring to ensure compliance during shifts.  Display Do’s &amp; Don’ts notices in security briefing areas. also Immediate counseling of the concerned security guard by the supervisor.  Written warning issued for misconduct and breach of client discipline.  Guard instructed to seek prior permission before taking any item from client areas.  Incident recorded in the disciplinary register. - Close</t>
  </si>
  <si>
    <t>04-Jan-26</t>
  </si>
  <si>
    <t>INC_DLFBCC10_TBS_2044</t>
  </si>
  <si>
    <t>What: Water leakage from the 11th floor to the 10th floor (TS common area). How: Upon inspection, we found that the building drain line on the 11th floor was blocked: REQUESTER - Sonu Kumar Giri</t>
  </si>
  <si>
    <t>Water leakage from the 11th floor to the 10th floor (TS common area). How: Upon inspection, we found that the building drain line on the 11th floor was blocked: - Close</t>
  </si>
  <si>
    <t>31-Dec-25</t>
  </si>
  <si>
    <t>INC_DLFTP6_TBS_2032</t>
  </si>
  <si>
    <t>What : Fire alarm activated. How: The fire alarm was activated due to dust generated during ongoing project work on the floor Requester: Anoop Sing</t>
  </si>
  <si>
    <t>The in-house team immediately inspected the affected detector, carried out thorough cleaning to remove dust, and reset the fire alarm panel to restore the system to normal operation. - Close</t>
  </si>
  <si>
    <t>29-Dec-25</t>
  </si>
  <si>
    <t>INC_DLFBCC10_TBS_2020</t>
  </si>
  <si>
    <t>What: Glass panel found cracked in the café area (10th Floor) How: The exact root cause of the glass crack is currently unidentified and under assessment: REQUESTER - Yukta Mathpal</t>
  </si>
  <si>
    <t>The vendor has been aligned, and the cracked glass panel has been replaced with a new one. - Close</t>
  </si>
  <si>
    <t>INC_BPTPCC9_TBS_2019</t>
  </si>
  <si>
    <t>BPTP Capital City, 9th Floor</t>
  </si>
  <si>
    <t>What: 20 kVA UPS went into bypass mode. How: Root Cause Analysis (RCA) is awaited from the OEM vendor partner: REQUESTER - Vishwajeet</t>
  </si>
  <si>
    <t>OEM vendor (Numeric) visited the site and carried out a detailed inspection.  Faulty inverter inductor PCB card was identified and replaced with a healthy spare.  UPS was reset and tested after replacement.  UPS is now working under normal and healthy operating conditions.  System logs have been captured by OEM for further analysis. - Close</t>
  </si>
  <si>
    <t>23-Dec-25</t>
  </si>
  <si>
    <t>INC_DLFBCC10_TBS_2005</t>
  </si>
  <si>
    <t>During routine housekeeping activities, our HK janitor identified a visitor boy and Tresvista employee together inside the female washroom cubicle. Upon checking on the same with the Tresvista employee, this boy is her partner, and she intentionally took him in the washroom.</t>
  </si>
  <si>
    <t>Both the individuals were asked to step out and counselled for such incidents. The incident has been raised to the admin team of Tresvista. Confindentiality of both individuals identity were adhered. - Close</t>
  </si>
  <si>
    <t>Gautami Choithwani</t>
  </si>
  <si>
    <t>22-Dec-25</t>
  </si>
  <si>
    <t>INC_DLFTP6_TBS_1995</t>
  </si>
  <si>
    <t>Material kept inside the Handicapped washroom Requester: Pankaj</t>
  </si>
  <si>
    <t>Matrial has been removed from the handicapped washroom and get the proper cleaning done. - Close</t>
  </si>
  <si>
    <t>INC_DLFCG9_TBS_1994</t>
  </si>
  <si>
    <t>Cafeteria sprinkler waterleakage Requester: Yastika</t>
  </si>
  <si>
    <t>Replaced the tray for the water dispenser and are monitoring for any leakage - Close</t>
  </si>
  <si>
    <t>INC_DLFCG_TBS_1993</t>
  </si>
  <si>
    <t>HK lady Ruma Khatun reported experiencing chest pain Requester: Yastika Sikka</t>
  </si>
  <si>
    <t>The doctors have done tests and checked Ruma, she has been given required medicine and is otherwise fine. - Close</t>
  </si>
  <si>
    <t>19-Dec-25</t>
  </si>
  <si>
    <t>INC_BPTPCC_TBS_1985</t>
  </si>
  <si>
    <t>Associate has stucked in the meeting room due to Lock issue How: Lock supporter not working. Requester: Abhijeet</t>
  </si>
  <si>
    <t>The door lock and handle were repaired, and proper alignment was ensured. The meeting room door is now functioning normally - Close</t>
  </si>
  <si>
    <t>18-Dec-25</t>
  </si>
  <si>
    <t>INC_DLFCG9_TBS_1980</t>
  </si>
  <si>
    <t>Cafeteria chair broke in Brillio office How:We are investigating the same Requester: Yastika</t>
  </si>
  <si>
    <t>The chair has been repaired. - Close</t>
  </si>
  <si>
    <t>NESAR KUMAR .R.</t>
  </si>
  <si>
    <t>INC_DLFDD4_TBS_1978</t>
  </si>
  <si>
    <t>DLF Downtown - Block 4, Gurugram</t>
  </si>
  <si>
    <t>Employee from Sainsbury’s fainted inside the office Where: Sainsbury’s Office. How: She felt dizzy and fainted as a result of dehydration. Requester:</t>
  </si>
  <si>
    <t>The Sainsbury’s team immediately informed the TS team to check her vital signs. The TS team coordinated with the DLF team, who arrived with a blood pressure and pulse machine. Her blood pressure and pulse were checked and found to be normal. The dizziness was caused solely by dehydration. She is now stable and feeling better. - Close</t>
  </si>
  <si>
    <t>16-Dec-25</t>
  </si>
  <si>
    <t>INC_BPTPCC13_TBS_1974</t>
  </si>
  <si>
    <t>BPTP Capital City, 13th Floor</t>
  </si>
  <si>
    <t>UPS “No Output” alarm activated How : Malfunction of rectifier Requester: Lipin dua</t>
  </si>
  <si>
    <t>inspected all server DBs and workstation DBs along with the Vertiv team and our internal electrical team. No issues were observed during the inspection. However, we noticed a few points that may be contributing to the recurring issue: •	Logs of all connected devices are required from your end for analysis, as a higher current drop is being observed in the R-phase. •	Power load distribution on switches needs to be balanced between S-1 and S-2. To identify the root cause and ensure a permanent resolution, a detailed investigation is required. For this, a planned shutdown is necessary. we have requested clients to provide the shutdown time to check thoroughly.As of now, no active issue is observed and the system is operating under normal conditions.  Further corrective actions are dependent on the planned shutdown window to complete detailed analysis and permanent resolution. - Close</t>
  </si>
  <si>
    <t>15-Dec-25</t>
  </si>
  <si>
    <t>INC_BPTPCC9_TBS_1960</t>
  </si>
  <si>
    <t>Access reader is not working due to software issue How : Due Software failure. Requester: Abhijeet</t>
  </si>
  <si>
    <t>The Spectra vendor visited the site, identified the software issue, and rectified it by reconfiguring the system. The access reader was tested and is now working properly., same has been informed to client and internal management as well. Regular system health checks and periodic software updates will be planned in coordination with the vendor to avoid recurrence. - Close</t>
  </si>
  <si>
    <t>12-Dec-25</t>
  </si>
  <si>
    <t>INC_DT16_TBS_1957</t>
  </si>
  <si>
    <t>The MCB of a workstation in the common area of the Mishcon office tripped automatically.</t>
  </si>
  <si>
    <t>The MST team was called for inspection. Upon checking, it was found that a wire connection had become loose. The connection was rectified, and the issue was resolved successfully. - Close</t>
  </si>
  <si>
    <t>11-Dec-25</t>
  </si>
  <si>
    <t>INC_BPTPCC9_TBS_1955</t>
  </si>
  <si>
    <t>Minor water leakage observed from the 10th floor to the 9th floor near the C-2 façade side. How : It was observed that the water dispenser waste tank was full, causing overflow. Due to this, water seeped through the wall, resulting in occasional droplets reaching the 9th floor via facade side Requester: Vishwajeet</t>
  </si>
  <si>
    <t>The in-house team inspected the leakage-affected area immediately.  Grouting work was carried out at the seepage location to prevent further water penetration.  The waste tank was emptied, and the dispenser area was checked thoroughly.  Currently, no water leakage is observed, and the area is under observation.  A routine inspection and cleaning schedule will be ensured for all water dispenser waste tanks to prevent recurrence. - Close</t>
  </si>
  <si>
    <t>10-Dec-25</t>
  </si>
  <si>
    <t>INC_DLFCG_TBS_1952</t>
  </si>
  <si>
    <t>What: Coffee Machine steamer not working: REQUESTER - Yastika Sikka</t>
  </si>
  <si>
    <t>Vendor has visited and solved the issue - Close</t>
  </si>
  <si>
    <t>INC_DT16_TBS_1948</t>
  </si>
  <si>
    <t>Common Area Main Entry Door Magnet Light Not Working.  How: Security observed that the Entry Door Magnet Light stopped functioning on its own and informed MST. MST checked, but the light did not turn on. Requester: Priyanka Malhotra</t>
  </si>
  <si>
    <t>MST informed the Innovation Team the Innovation Team will visit on Saturday with the vendor to resolve the issue.MST Pankaj also instructed to raise a ticket for this issue. - Close</t>
  </si>
  <si>
    <t>INC_DLFBCC10_TBS_1945</t>
  </si>
  <si>
    <t>The smoke detector was activated. How: A PubMatic employee was cooking popcorn in the microwave, which caused the activation. Requester: Sonu Kumar Giri</t>
  </si>
  <si>
    <t>The in-house MST team checked the issue, briefed the employee, and reset the panel. - Close</t>
  </si>
  <si>
    <t>INC_DT16_TBS_1944</t>
  </si>
  <si>
    <t>What: The global light in the Mishcon cafeteria is not functioning. How: The light appears to have broken, possibly while being checked by the MST team.However, the MST team has temporarily switched it on for the time being. Requester: Priyanka malhotra</t>
  </si>
  <si>
    <t>The light has been replaced through DLP vendor - Close</t>
  </si>
  <si>
    <t>09-Dec-25</t>
  </si>
  <si>
    <t>INC_BPTPCC12_TBS_1942</t>
  </si>
  <si>
    <t>What: Main door alignment to be done where gate has not gotten locked How: Door frame to be replaced or adjusted: REQUESTER - Lipin Dua</t>
  </si>
  <si>
    <t>The in-house maintenance team has replaced all faulty hinges with new hinges.  Door alignment has been corrected and tested, and the door is operating smoothly.  The door will be kept under observation to ensure no recurrence of the issue.  Going forward, hinge condition will be included in routine preventive maintenance checks. - Close</t>
  </si>
  <si>
    <t>INC_DLFCC10BC_TBS_1940</t>
  </si>
  <si>
    <t>Water dripping observed through the ceiling in the floor work station area How: Water leakage was identified coming from the fire line pipe. Requester: Jatin Negi</t>
  </si>
  <si>
    <t>The technical team was informed immediately to inspect the issue. The DLF facility team was notified to verify the source of leakage. - Close</t>
  </si>
  <si>
    <t>INC_DLFBCC10_TBS_1939</t>
  </si>
  <si>
    <t>Water dripping observed through the ceiling in Gents’ washrooms. How:Water leakage was identified coming from the fire line pipe. Requester: Jatin Negi</t>
  </si>
  <si>
    <t>INC_BPTPCC13_TBS_1938</t>
  </si>
  <si>
    <t>Multiple trouble alarms are appearing on the FAS panel, causing beep sounds every minute. How : Recently we have done the renovation work for Voya and ZS Associates is causing disturbances in our FAS system. Requester: Vishwajeet</t>
  </si>
  <si>
    <t>The FAS vendor visited the site and inspected the system.  Three faulty detectors were identified as the root cause of repeated trouble alarms.  Temporary measures were taken to stabilize the system and avoid continuous nuisance alarms.  Replacement of the identified faulty detectors has been recommended and will be carried out at the earliest.  Post-replacement, the FAS system will be tested and normal operation will be confirmed.  During future renovation activities, detectors will be properly covered or isolated with prior approval to prevent recurrence. - Close</t>
  </si>
  <si>
    <t>07-Dec-25</t>
  </si>
  <si>
    <t>INC_DT16_TBS_1934</t>
  </si>
  <si>
    <t>At around 01:40 PM, the security team observed fog/smoke coming out of FHC No. 2. The security team immediately informed the MST. Upon inspection, the MST team was unable to identify the source initially. They then contacted the DLF Building Team. After further investigation, it was found that tile-cutting work was in progress on the 10th floor, and the dust/fog generated from the work had travelled through the shaft to the FHC area. How:- The fog originated from the construction work (tile cutting) being carried out on the 10th floor. Requester: Priyanka  Malhotra</t>
  </si>
  <si>
    <t>The MST team and the DLF Building Team called the technician to inspect the area. The construction team on the 10th floor was informed, and the tile-cutting work was stopped immediately. - Close</t>
  </si>
  <si>
    <t>INC_BPTPCC_TBS_1929</t>
  </si>
  <si>
    <t>30kVA UPS No. 2 is showing zero battery backup on the display. How : RCA is awaited from the OEM vendor partner. Requester: Vishwajeet</t>
  </si>
  <si>
    <t>The issue was immediately reported to the OEM (Vertiv) for diagnosis and resolution.  The OEM team visited the site and identified one faulty battery in the battery bank.  The vendor has initiated the process to replace the faulty battery, which will take approximately 2–3 days.  Currently, the workstation load is safely supported by two 30kVA UPS units running in parallel, and there is no operational impact.  The issue has been informed to internal management for visibility.  Continuous monitoring of the UPS is being carried out until battery replacement is completed. last sunday new battery has been replaced by vertiv team system is working healthy condition. - Close</t>
  </si>
  <si>
    <t>06-Dec-25</t>
  </si>
  <si>
    <t>INC_DLFCB64_TBS_1927</t>
  </si>
  <si>
    <t>Innovation team was trying to repair the door closure but by mistake the screw driver slipped from his hand and the glass broke. Requester: Seshu Kumar</t>
  </si>
  <si>
    <t>We have connected with the vendor and after continuous follow up, the door glass has been replaced successfully. - Close</t>
  </si>
  <si>
    <t>05-Dec-25</t>
  </si>
  <si>
    <t>INC_DLFBCC10_TBS_1922</t>
  </si>
  <si>
    <t>Lights not working in the Ladies’ and Gents’ washrooms. How: Due to ongoing water seepage from the ceiling, the electrical lights in both washrooms have stopped functioning. Requester: Jetin Negi</t>
  </si>
  <si>
    <t>DLF team was aligned to repair the damage - Close</t>
  </si>
  <si>
    <t>INC_DLFBCC10_TBS_1921</t>
  </si>
  <si>
    <t>Water dripping/seepage observed through the ceiling in both Ladies’ and Gents’ washrooms.  How: Water leakage was identified coming from the ceiling in both washrooms. The leak appears to be originating from construction/renovation activities taking place on the 11th floor above the affected location. requester: Jetin Negi</t>
  </si>
  <si>
    <t>DLF team corrected the damage - Close</t>
  </si>
  <si>
    <t>04-Dec-25</t>
  </si>
  <si>
    <t>INC_DLFBCC3_TBS_1918</t>
  </si>
  <si>
    <t>Printer provided to the client faced an interruption in service Where: 3rd Floor How: The invoices need to be raised for the vendor Requester: Gautami Choithwani</t>
  </si>
  <si>
    <t>INC_DLFBCC10_TBS_1916</t>
  </si>
  <si>
    <t>What*: Smoke detector activated *Where*: 10th Floor *How*: Due to dust *Impact*: No impact</t>
  </si>
  <si>
    <t>The team checked the smoke detector and found that it was activated due to dust. The detector has been cleaned, and the panel is now working properly. - Close</t>
  </si>
  <si>
    <t>Nivedita MC</t>
  </si>
  <si>
    <t>INC_DLFCC10BC_TBS_1913</t>
  </si>
  <si>
    <t>What: Watet leakage observed in the handicap washroom from the ceiling How: Due to ongoing construction work in the upper floor</t>
  </si>
  <si>
    <t>The builder has been contacted to provide resolution. - Close</t>
  </si>
  <si>
    <t>INC_DLFCC10BC_TBS_1910</t>
  </si>
  <si>
    <t>*What* : Urinals in the gent's washroom are blocked *How* : There is a blockage in the urinal due to blockage in the drain line.</t>
  </si>
  <si>
    <t>Blockage was removed manually from the second floor WC line. Fire pressure treatment was also done. HK staff has been properly briefed and trained to prevent such cases from happening and a prevantative process has been communicated. - Close</t>
  </si>
  <si>
    <t>INC_BPTPCC9_TBS_1909</t>
  </si>
  <si>
    <t>What: Misuse of the Naviga photocopy machine by a Table Space security staff member. How: The individual was not aware that the photocopy machine belonged to the client (Naviga)</t>
  </si>
  <si>
    <t>The concerned security guard was counseled and warned regarding the misuse of client property.  The security team was briefed about strict adherence to authorization protocols.  A short awareness session was conducted for all ground staff, clearly instructing them not to use any client-owned machines, tools, or materials without formal approval.  The incident was logged for internal compliance monitoring. - Close</t>
  </si>
  <si>
    <t>03-Dec-25</t>
  </si>
  <si>
    <t>INC_DLFCG10_TBS_1908</t>
  </si>
  <si>
    <t>DLF Cyber Greens - Tower D &amp; E, 10th Floor</t>
  </si>
  <si>
    <t>Cockroach spotted on workstation, how: Under investigation: REQUESTER - Yastika Sikka</t>
  </si>
  <si>
    <t>Pest control and sanitization has been done - Close</t>
  </si>
  <si>
    <t>02-Dec-25</t>
  </si>
  <si>
    <t>INC_DLFBCC3_TBS_1900</t>
  </si>
  <si>
    <t>Emergency UPS output supply was tripped Requester: Sonu Kumar Giri</t>
  </si>
  <si>
    <t>OEM had checked the UPS and found that it was a short circuit on the output breaker. The team had identified with the OEM and resolved the issue, but the system has been kept under observation for 24 hours. - Close</t>
  </si>
  <si>
    <t>INC_DLF10BF9_TBS_1899</t>
  </si>
  <si>
    <t>The dishwasher in the pantry is not working How : Certain parts are faulty Requester: Yuktha Manthpal</t>
  </si>
  <si>
    <t>The faulty parts were replaced - Close</t>
  </si>
  <si>
    <t>27-Nov-25</t>
  </si>
  <si>
    <t>INC_BPTPCC9_TBS_1883</t>
  </si>
  <si>
    <t>PFC card failure in Module No. 4 of the 100kVA KEOR MOD UPS How : Root Cause Analysis (RCA) is awaited from the OEM vendor partner (Numeric) Requester: Vishwajeet</t>
  </si>
  <si>
    <t>The faulty Module No. 4 has been replaced with a new module.  The issue has been escalated to the OEM (Numeric) for detailed testing and confirmation of root cause.  Internal management has already been informed regarding the failure and replacement.Request OEM Numeric to conduct a detailed root cause analysis (RCA) of the failed PFC card.  Perform regular thermal checks, dust cleaning, and preventive maintenance of PFC boards.  Ensure stable input power supply and check for any incoming surge issues. Keep spare modules/cards available for immediate replacement in future. - Close</t>
  </si>
  <si>
    <t>26-Nov-25</t>
  </si>
  <si>
    <t>INC_DT16_TBS_1878</t>
  </si>
  <si>
    <t>A bat entered from the shaft area. How: The MST team was checking the shaft area, and the bat entered from there. Requester: Priyanka Malhotra</t>
  </si>
  <si>
    <t>With the help of the housekeeping team, the operations team guided the bat outside safely. - Close</t>
  </si>
  <si>
    <t>INC_DLFCC10BC_TBS_1875</t>
  </si>
  <si>
    <t>Water was found overflowing from the WC in the handicapped washroom. The overflow caused water to spread across the floor, creating a slip hazard. Where: Handicapped Washroom Cause (How): Pipeline blockage Requester Jetin Negi</t>
  </si>
  <si>
    <t>Vendor conduced the drainoscopy  to rectify the issue. - Close</t>
  </si>
  <si>
    <t>25-Nov-25</t>
  </si>
  <si>
    <t>INC_TH10_TBS_1870</t>
  </si>
  <si>
    <t>One of the three PlayStation 5 controllers is missing. How: Investigation awaited from Security Requester: Amit Thakur</t>
  </si>
  <si>
    <t>The process has been updated to client and system updated - Close</t>
  </si>
  <si>
    <t>24-Nov-25</t>
  </si>
  <si>
    <t>INC_DLF10B5_TBS_1856</t>
  </si>
  <si>
    <t>WC main drain line blockage How: The WC drain line became blocked Requester: Sonu Kumar Giri</t>
  </si>
  <si>
    <t>The team has checked the WC drain line and cleared it. The blockage issue has now been resolved. - Close</t>
  </si>
  <si>
    <t>22-Nov-25</t>
  </si>
  <si>
    <t>INC_DLFBCC10_TBS_1848</t>
  </si>
  <si>
    <t>VMS has logged out and unable to logged in How: VMS has logged out and unable to logged in because we do not know the password Requester: Yuktha Manthpal</t>
  </si>
  <si>
    <t>IT team was informed to provide login ID password  - Close</t>
  </si>
  <si>
    <t>20-Nov-25</t>
  </si>
  <si>
    <t>INC_DLFCC8B_TBS_1840</t>
  </si>
  <si>
    <t>DLF Cyber City - Building No. 8 - Tower B, 7th Floor</t>
  </si>
  <si>
    <t>The access control system of the meeting room is non functional . Requester: Dushyant Sing</t>
  </si>
  <si>
    <t>Troubleshooting has been done and server is working optimally - Close</t>
  </si>
  <si>
    <t>18-Nov-25</t>
  </si>
  <si>
    <t>INC_BPTPCC9_TBS_1830</t>
  </si>
  <si>
    <t>100 kVA UPS module fan failure Where : 9th Floor UPS Room How : Root Cause Analysis (RCA) awaited from the OEM (Numeric). Requester: Vishwajeet</t>
  </si>
  <si>
    <t>Same has been replaced faulty fan by the OEM team also Maintenance schedule reviewed to ensure periodic cleaning and inspection of fan filters Preventive Maintenance (PM) checklist updated to include more frequent checks for dust accumulation on fans and filters Now ups fan is working fine and all the ups system are working healthy - Close</t>
  </si>
  <si>
    <t>14-Nov-25</t>
  </si>
  <si>
    <t>INC_DT16_TBS_1815</t>
  </si>
  <si>
    <t>During Halloween, a cake was brought to the Mishcon office. A small piece of the floor tile and a wooden strip on the wall broke when the cake box accidentally hit the wall.  What: A floor tile and a wooden wall strip were damaged. Requester: Priyanka Malhotra</t>
  </si>
  <si>
    <t>Vendor had been asked to replace under DLP - Close</t>
  </si>
  <si>
    <t>13-Nov-25</t>
  </si>
  <si>
    <t>INC_DLFBCC10_TBS_1808</t>
  </si>
  <si>
    <t>On 13 November 2025, at approximately 15:00 hrs, it was observed that the Mac system utilized by the security personnel stationed at the 10th Floor Reception data stored in the system is not able to be accessed due to email log out. This was immediately reported, and Mr. Vishav Mehta was informed to check the system.: REQUESTER - Gautami Choithwani</t>
  </si>
  <si>
    <t>IT team supported in guiding how to access the VMS Data. - Close</t>
  </si>
  <si>
    <t>INC_TH10_TBS_1805</t>
  </si>
  <si>
    <t>AC temperature issue How: The actuator valve is not functioning properly</t>
  </si>
  <si>
    <t>The team checked the issue along with the builder team. The actuator has been opened manually, and the inlet temperature has now decreased.  - Close</t>
  </si>
  <si>
    <t>08-Nov-25</t>
  </si>
  <si>
    <t>INC_DT16_TBS_1801</t>
  </si>
  <si>
    <t>The fire Extinguisher pressure dropped on its own. How: The pressure in the Fire Extinguisher dropped. MST checked it and confirmed that the pressure was low, and the Fire Extinguisher will need to be changed. Requester: Priyanka Malhotra</t>
  </si>
  <si>
    <t>Sent for refilling - Close</t>
  </si>
  <si>
    <t>12-Nov-25</t>
  </si>
  <si>
    <t>INC_DLFTP5_TBS_1796</t>
  </si>
  <si>
    <t>Topsoe employee is not showing his ID card How :  While entering into the campus from pedestrian entry employee has not showing his ID card. After few conversations with builder security, employee has showed his ID card to Security officer and Now employee has complaint to their admin SPOC that building security team is doing misbehave with him. Requester: Pankaj Kumar</t>
  </si>
  <si>
    <t>Brief both the employee and security team on expected conduct and ID protocols. - Close</t>
  </si>
  <si>
    <t>INC_DLFCC8B_TBS_1792</t>
  </si>
  <si>
    <t>The access control system on the main gate has malfunctioned. This has led to restricted access to the building and compromised security at the premises. The cause of the malfunction is still being investigated. Requester: Dhushyanth Sing</t>
  </si>
  <si>
    <t>Door bolt repaired - Close</t>
  </si>
  <si>
    <t>INC_BPTPCC_TBS_1779</t>
  </si>
  <si>
    <t>Burning smell observed from AHU motor, how: The motor bearing was found damaged, resulting in a burning smell spreading in the floor area: REQUESTER - Vishwajeet Kumar Singh</t>
  </si>
  <si>
    <t>The damaged bearing was replaced immediately.  Motor cleaned, inspected, and reinstalled after confirming smooth operation.  Verified insulation resistance and current load to ensure motor health.  Updated the preventive maintenance (PM) schedule to include periodic bearing inspection and lubrication.  Maintenance team to monitor vibration and temperature readings regularly to detect early bearing wear. - Close</t>
  </si>
  <si>
    <t>06-Nov-25</t>
  </si>
  <si>
    <t>INC_BPTPCC10_TBS_1770</t>
  </si>
  <si>
    <t>False alarm activated at the 10th floor, 4-pax meeting room How : Smoke detector activated due to dust accumulation Requester: Viswajeet</t>
  </si>
  <si>
    <t>The smoke detector in the affected area has been cleaned immediately.  The FAS panel was reset and system functionality was verified.  A site-wide inspection and cleaning of all smoke detectors on the 10th floor (C-2 area) will be carried out.  Preventive maintenance frequency for detector cleaning will be reviewed and reinforced.  The in-house team will ensure periodic testing and cleaning as per OEM and NFPA standards to avoid recurrence. - Close</t>
  </si>
  <si>
    <t>04-Nov-25</t>
  </si>
  <si>
    <t>INC_DLF10B2F_TBS_1759</t>
  </si>
  <si>
    <t>Yellow particles found in water dispensed by water dispenser: REQUESTER - Gautami Choithwani</t>
  </si>
  <si>
    <t>Change of dispenser - Close</t>
  </si>
  <si>
    <t>30-Oct-25</t>
  </si>
  <si>
    <t>INC_DT16_TBS_1741</t>
  </si>
  <si>
    <t>Mishcon dedicated pantry boy, Rajib, was found taking new spoons in his bag.  Where: 16th floor  How : Security was checking his bag for shift out like always and found 5 new steel spoons. Requester: Priyanka Malhotra</t>
  </si>
  <si>
    <t>As per discussion with the client, Rajib is not being removed. He has been given a warning and we are maintaining strict observation. - Close</t>
  </si>
  <si>
    <t>31-Oct-25</t>
  </si>
  <si>
    <t>INC_DLF10B5_TBS_1740</t>
  </si>
  <si>
    <t>WC main drain line was blocked Where: Inside the gents washroom How: The WC line was blocked due to garbage items stuck into the drain line. Requester: Sonu Kumar Giri</t>
  </si>
  <si>
    <t>The team immediately checked the WC line and made several attempts to clear it with fire pressure. However, the in-house team was unable to resolve the issue. The drain-scopy vendor was aligned, and they successfully cleaned the line. The washroom is now functioning normally. - Close</t>
  </si>
  <si>
    <t>29-Oct-25</t>
  </si>
  <si>
    <t>INC_DLF4_TBS_1736</t>
  </si>
  <si>
    <t>Airtel network outage observed within the office premises. How: For an unknown reason Requester: Yuktha Manthpal</t>
  </si>
  <si>
    <t>The frequency has been increased - Close</t>
  </si>
  <si>
    <t>28-Oct-25</t>
  </si>
  <si>
    <t>INC_DLF10B9_TBS_1735</t>
  </si>
  <si>
    <t>The cafe area refrigerator stopped working. How: Upon inspection, it was identified that certain internal parts of the refrigerator were faulty and required replacement. requester: Yuktha Manthpal</t>
  </si>
  <si>
    <t>The in-house team attempted to rectify the issue but was unsuccessful. The Samsung vendor for the refrigerator was aligned, and replacement of the defective parts was initiated, which is a time-consuming process. As an interim solution, an alternative refrigerator has been placed for use. - Close</t>
  </si>
  <si>
    <t>INC_DLFCC10B14_TBS_1734</t>
  </si>
  <si>
    <t>Employee reported spotting a rat on the floor.  How: The rat entered the workstation area through an unidentified opening. Requester: yuktha Manthpal</t>
  </si>
  <si>
    <t>Rat traps were placed and openings were closed - Close</t>
  </si>
  <si>
    <t>INC_DT16_TBS_1730</t>
  </si>
  <si>
    <t>lift no A4 of Downtown tower-4 halted midway for around 10 minutes while some Mishcon employees were using it to go to the ground floor. Requester: Kamran</t>
  </si>
  <si>
    <t>Dear Sudipta,     Thanks for sharing the findings, would need to see the footages for all the lifts mentioned by you in the trail mail. Pls arrange the same.     Would come to your office to have a look at them around 6 pm.     Hope that’s convenient !     Regards,  Rohit Kaul  Dear Akshay,  As per the query raised, we have conducted a detailed investigation at our end. However, based on our findings, none of the Table Space employees were observed using the said elevator at that time.  Additionally, our rescue personnel did not receive or carry out any rescue operations involving employees being stuck in the lift.  But at this stage, we have found no evidence supporting the reported incident.  Today, we made our third attempt to meet the concerned individuals to understand exactly what happened that day. Unfortunately, they were unavailable again. Request you to please arrange a meeting with any of the concerned persons (the affected individual, if possible) so that we can better understand the situation.     Our Investigation Findings mentioned below:     21:59:23 – Four employees left the Table Space area.(North corridor)  22:00:43 – They took lift A-6 to the ground floor.  22:02:58 – They reached the ground floor.  22:30:30 – The same group of employees entered lift B-8.  22:32:12 – They exited lift B-8 at the 16th floor.  22:32:56 – The lobby lights went off due to a power interruption.  22:33:39 – Power was restored.     Today, we also interacted with one of the Mischcon employees who manages transport services. He confirmed that he was on-site that day and had inquired with our security team regarding any reported entrapment.  Based on the available data and interactions so far, there is no indication of any lift entrapment during the mentioned period. However, we remain committed to ensuring complete clarity on the matter.  We will be happy to extend our full support for any further investigation, if required.     Warm Regards,     Sudipta Mukherjee(He/Him)  Operations - Close</t>
  </si>
  <si>
    <t>25-Oct-25</t>
  </si>
  <si>
    <t>INC_DLFCG8_TBS_1706</t>
  </si>
  <si>
    <t>Fire panel showing trouble Where: Inside the Wood Mackenzie office, 8th floor How: Upon inspection, the team found that one smoke detector was active due to dust. Requester:: Sonu Kumar Giri</t>
  </si>
  <si>
    <t>The team checked and cleaned the fire alarm detector. The panel is now functioning normally. - Close</t>
  </si>
  <si>
    <t>23-Oct-25</t>
  </si>
  <si>
    <t>INC_DLFCC10B14_TBS_1698</t>
  </si>
  <si>
    <t>Neutral wire was found broken in UPS DB-02 Where: Inside the Tresvista office in UPS DB How: Upon inspection, the team had found that the neutral wire in the UPS DB was broken due to a loose connection. Requester: Sonu Kumar Giri</t>
  </si>
  <si>
    <t>The team promptly inspected the UPS power distribution board (DB) and reconnected the broken neutral. The system has been restored to normal operating conditions. - Close</t>
  </si>
  <si>
    <t>INC_DLFCB65_TBS_1696</t>
  </si>
  <si>
    <t>DLF Cyber City, Building 6, 5th Floor</t>
  </si>
  <si>
    <t>Fire alarm activated. How: While the emergency door near the service lift area was opened, the fire alarm was automatically activated. Requester: Nitish Kumar</t>
  </si>
  <si>
    <t>Give the proper training , and aligned the vender immediately to check and ensure the issue to stuck the key - Close</t>
  </si>
  <si>
    <t>22-Oct-25</t>
  </si>
  <si>
    <t>INC_DLF10B5_TBS_1693</t>
  </si>
  <si>
    <t>Water leakage from the 6th floor to the 5th floor (SS&amp;C area) How: Upon inspection, we found that the building drain line on the 6th floor was blocked. Requester: Sonu Kumar Giri</t>
  </si>
  <si>
    <t>The DLF team was informed immediately, and necessary alignment has been made for rectification. - Close</t>
  </si>
  <si>
    <t>17-Oct-25</t>
  </si>
  <si>
    <t>INC_DLFCB64_TBS_1681</t>
  </si>
  <si>
    <t>WLD activated How : The water leakage was caused by moisture accumulation in the AC unit, resulting in water dripping onto the WLD wire. Requester: Jugendra Chowdhary</t>
  </si>
  <si>
    <t>The in-house team has reached the location, addressed the issue, and reset the WLD after cleaning the water drops from the WLD sensor. - Close</t>
  </si>
  <si>
    <t>15-Oct-25</t>
  </si>
  <si>
    <t>INC_DLFBCC3_TBS_1668</t>
  </si>
  <si>
    <t>What: The female security guard at the reception was having difficulty breathing and talking. How: Due to her personal circumstances, she was feeling shaky, and later on started having difficulty breathing Requester: Gautami Choithwani</t>
  </si>
  <si>
    <t>Create a private channel for employees to report stress or mental health concerns.  Remind staff they can take a break or seek help if feeling unwell. - Close</t>
  </si>
  <si>
    <t>14-Oct-25</t>
  </si>
  <si>
    <t>INC_BPTPCC11_TBS_1664</t>
  </si>
  <si>
    <t>Clear Water associate fainted in the restroom due to health issues. How, Employee felt unwell and collapsed in the restroom. Housekeeping staff noticed and provided immediate support: REQUESTER - Monika Sangwan</t>
  </si>
  <si>
    <t>Immediate Actions:  Employee was provided with first aid and immediately shifted to the hospital.  Informed her reporting manager and HR about the incident.  Restroom area checked and sanitized post incident.  Preventive / Long-term Actions:  Ensure medical fitness certificates are obtained from employees returning after major health issues.  Conduct awareness sessions for employees to promptly report any health concerns to HR/administration.  Strengthen the onsite first-aid and emergency response system.  Ensure regular wellness checks and availability of first-aid trained personnel during all shifts. - Close</t>
  </si>
  <si>
    <t>13-Oct-25</t>
  </si>
  <si>
    <t>INC_DLFCG7_TBS_1660</t>
  </si>
  <si>
    <t>Vver voltage issue from power grid How : Malfunction in OLTC from the builder side. Requester: Jugendra Choudhary</t>
  </si>
  <si>
    <t>The team has observed an over-voltage issue originating from the builder's side. The building team has been informed to resolve the issue, and the builder has since adjusted the voltage to the standard level." - Close</t>
  </si>
  <si>
    <t>INC_DT16_TBS_1653</t>
  </si>
  <si>
    <t>What: Mishcon cafeteria microwave is not heating How : The technician will check Requester: Yastika Sikka</t>
  </si>
  <si>
    <t>The on-site MST has checked and is coordinating with the vendor technician who will come within 24 hours to check the microwave. Technician has checked and changed the required part. - Close</t>
  </si>
  <si>
    <t>12-Oct-25</t>
  </si>
  <si>
    <t>INC_DLFTP5_TBS_1652</t>
  </si>
  <si>
    <t>Team attendance check-in and check-out were not recorded on the AMS portal. How: Due to a technical error in the AMS portal. Requester: Anoop Sing</t>
  </si>
  <si>
    <t>Investigated the root cause of the technical error in collaboration with the AMS support team.  Applied necessary fixes/patches to the AMS portal to restore attendance recording functionality.  Conducted manual attendance entry for the affected team members during the downtime period.  Implemented monitoring and alert mechanisms to detect and respond to similar issues promptly in the future.  Communicated with the affected team and stakeholders regarding the incident and resolution. - Close</t>
  </si>
  <si>
    <t>10-Oct-25</t>
  </si>
  <si>
    <t>INC_DLFCG8_TBS_1641</t>
  </si>
  <si>
    <t>Water Leakage issue  from the waste drain line How : Damaged the drainpipe line Requester: Jugendra Choudhary</t>
  </si>
  <si>
    <t>The team has arrived at the location and successfully closed the water valve. The damaged parts have been repaired by the in-house team." - Close</t>
  </si>
  <si>
    <t>08-Oct-25</t>
  </si>
  <si>
    <t>INC_DLFCG9_TBS_1631</t>
  </si>
  <si>
    <t>What: Coffee Machine not working. How: Coffee machine water pump proper not working. Requester:  Sanjay Kumar</t>
  </si>
  <si>
    <t>Chai Point coffee machine has been provided to Brillio, replacing the old coffee machine. - Close</t>
  </si>
  <si>
    <t>07-Oct-25</t>
  </si>
  <si>
    <t>INC_BPTPCC11_TBS_1619</t>
  </si>
  <si>
    <t>False alarm activated on the 11th floor. How, Smoke detector activated during carpet cleaning: REQUESTER - Vishwajeet Kumar Singh</t>
  </si>
  <si>
    <t>The in-house team inspected the area and confirmed that a false alarm was triggered in the 11th-floor 8 Pax Meeting Room. smoke detector was cleaned immediately, and the FAS panel was reset. An announcement has been done as per the standard speech. Housekeeping staff have been briefed to follow the proper cleaning procedure to avoid recurrence. - Close</t>
  </si>
  <si>
    <t>INC_BPTPCC12_TBS_1612</t>
  </si>
  <si>
    <t>What : Air accumulation detected in AHU line due to which CORE 2 Aircon services impacted &amp; suitable temperature has not been maintained Where : Core 2 ooffice areas Requester: Lipin Dua How : Due to air in line.</t>
  </si>
  <si>
    <t>1. Air was released from the line through air vents to restore normal water flow and stabilize AHU operation. 2. System pressure was checked and normalized.3. Coordinate with the builder’s team to ensure the chilled water makeup tank is refilled and maintained regularly. 4. Introduce a regular monitoring schedule for water level and system pressure. 5. Recommend installation of an automatic air vent and low water level alarm to prevent recurrence. now temp has been maintained on same time within 20 mints - Close</t>
  </si>
  <si>
    <t>25-Sep-25</t>
  </si>
  <si>
    <t>INC_DLFTP5_TBS_1553</t>
  </si>
  <si>
    <t>Topsoe food vendor supervisor fainted. Requested: Pankaj</t>
  </si>
  <si>
    <t>Provided immediate medical attention and Administered glucose/sweet drink. then Transferred to hospital for further evaluation. - Close</t>
  </si>
  <si>
    <t>24-Sep-25</t>
  </si>
  <si>
    <t>INC_BPTPCC13_TBS_1545</t>
  </si>
  <si>
    <t>False alarm activated on the 13th floor, TS Suites–2 (Voya office). How : Smoke detector triggered due to dust accumulation: REQUESTER: Vishwajeet Kumar Singh</t>
  </si>
  <si>
    <t>The in-house team inspected the area and confirmed it was a false alarm. The smoke detector in TS Suites–2 (Voya office) was cleaned. The FAS panel was reset, and the announcement was made as per standard speech. Concern has been escalated via email to the project team to investigate the recurring alarm issue. - Close</t>
  </si>
  <si>
    <t>INC_BPTPCC9_TBS_1536</t>
  </si>
  <si>
    <t>100kVA UPS Module fan failure. How: RCA awaited from OEM (Numeric) team: REQUESTER: Vishwajeet Kumar Singh</t>
  </si>
  <si>
    <t>23-Sep-25</t>
  </si>
  <si>
    <t>INC_BPTPCC10_TBS_1533</t>
  </si>
  <si>
    <t>What : False alarm activated  10th floor How : Smoke detector triggered due to dust accumulation (above 60%) Requester: Viswajeet Kumar Sing</t>
  </si>
  <si>
    <t>The in-house team inspected the area and confirmed that a false alarm was triggered in the C-1 area near HR bay at 10th floor,Smoke detector was cleaned at the same time and reset the FAS panel also announcement has been done as per standard speech. Additionally, In-house PPM has been scheduled for tonight to adress the dust accumulation issue. - Close</t>
  </si>
  <si>
    <t>22-Sep-25</t>
  </si>
  <si>
    <t>INC_DLFTP5_TBS_1522</t>
  </si>
  <si>
    <t>What: FAS panel showing device missing trouble in AHU room How: Upon inspection, it was identified that the detector in the AHU room was faulty, which caused the device missing trouble on the FAS panel. Requested by: Anoop Singh</t>
  </si>
  <si>
    <t>1-The in-house team replaced the faulty detector in the AHU room with a new, tested unit.  2-They performed a functionality test to ensure proper communication between the detector and the FAS panel.  3-Regular preventive maintenance checks for detectors in critical areas like AHU rooms have been implemented to detect early signs of failure.  4-Environmental conditions (e.g., temperature, humidity, dust) in the AHU room were reviewed, and protection measures were improved as needed to prevent future faults. - Close</t>
  </si>
  <si>
    <t>19-Sep-25</t>
  </si>
  <si>
    <t>INC_DT16_TBS_1513</t>
  </si>
  <si>
    <t>Employee Arushi felt dizzy due to blood pressure rise. Requested by : Yastika Sikka</t>
  </si>
  <si>
    <t>The site team responded immediately and offered ambulance assistance. Ms. Arushi was transported to the nearest hospital, accompanied by a few Mishcon employees. - Close</t>
  </si>
  <si>
    <t>18-Sep-25</t>
  </si>
  <si>
    <t>INC_BPTPCC9_TBS_1506</t>
  </si>
  <si>
    <t>AHU No. 2 &amp; 3 are not functioning effectively, resulting in increased temperature, especially in the C-2 area. How: Air is entering the chiller line, causing improper cooling: REQUESTER NAME: Vishwajeet Kumar Singh</t>
  </si>
  <si>
    <t>Perform air punching/bleeding from the chiller line to remove trapped air.  Inspect and ensure all manual/automatic air vents are operational. also Implement a scheduled maintenance plan for regular line venting.  Replace faulty air vent valves with reliable automatic air release valves at all high points of the line.  Review commissioning/start-up procedures to ensure proper venting after every shutdown or repair.  - Close</t>
  </si>
  <si>
    <t>15-Sep-25</t>
  </si>
  <si>
    <t>INC_DLFCG_TBS_1495</t>
  </si>
  <si>
    <t>Facade glass broken. Where: At the 7th floor tower D site DLF facade glass is broken. INCIDENT SHARED BY: Sanjay</t>
  </si>
  <si>
    <t>Site team reached the location immediately, and I informed the DLF team. Secondly the immediate area was cordoned off for safety. Glass has been replaced now. - Close</t>
  </si>
  <si>
    <t>10-Sep-25</t>
  </si>
  <si>
    <t>INC_BPTPCC_TBS_1477</t>
  </si>
  <si>
    <t>Dampness across the ceiling area, walls, Air ducts, and raceways. How: Condensation on floor.</t>
  </si>
  <si>
    <t>Actions Completed: All AC ducts have been thoroughly cleaned, including deep cleaning and antifungal treatment. Paint touch-up work has been carried out across the office area. In the C-2 area, the faded wallpaper has been removed with prior approval. Touch-up painting will be completed. Ongoing &amp; Scheduled Actions: Our consultant has been engaged to inspect and identify the root cause of the moisture observed on the floor area. The inspection is scheduled for tomorrow i.e. 16th Sep 25. Two vendor partners have also been aligned to get the scoping don for wallpaper replacement on the 10th floor. Their site visit is scheduled for tomorrow i.e. 16th Sep 25. A detailed report covering all observations and corrective measures will be shared with you by Wednesday i.e. 17th Sep 25. Please be informed that the new wallpaper has  been changed as per client expectation now client is so much happy with the replacement from wallpaper. now there is no any issue from client end  - Close</t>
  </si>
  <si>
    <t>INC_BPTPCC10_TBS_1476</t>
  </si>
  <si>
    <t>What: Burning smell detected from the motor of Builder’s AHU Where : 10th Floor, AHU-2 How : Likely caused due to overheating issue</t>
  </si>
  <si>
    <t>Building team has been notified at same time where replacement of faulty motor has been carried out. Have asked building team to carry out regular PPM's for AHU rooms. - Close</t>
  </si>
  <si>
    <t>08-Sep-25</t>
  </si>
  <si>
    <t>INC_DLFBCC10_TBS_1465</t>
  </si>
  <si>
    <t>A strong and unusual smell was detected coming from an RO water bottle. How It Was Detected: While preparing coffee, an employee noticed a foul smell coming from both the RO water and the coffee made with it. Potential Impact: Consumption of coffee made with the contaminated water could pose a health risk to employees.</t>
  </si>
  <si>
    <t>Change the batch - Close</t>
  </si>
  <si>
    <t>INC_DLFBCC3_TBS_1460</t>
  </si>
  <si>
    <t>Security Guard was not at the reception, missing from post. How: unknown reasons.</t>
  </si>
  <si>
    <t>1 On investigation , it was found that the guard was not available at her post due to morning cleaning procedure; the gurardwas briefed on her resposibilities&amp; agency has been also advised  to conduct rigouroustraining on job duties to ensure such incidents are not repeated. 2.Job card allocated to respective guards , agency  has been advised to print &amp; ensure all guards to display and understand their job duties. - Close</t>
  </si>
  <si>
    <t>INC_DLFTP5_TBS_1458</t>
  </si>
  <si>
    <t>One RCCB tripped unexpectedly in the server room. How: due to unknown reasons.</t>
  </si>
  <si>
    <t>The in-house team has inspected the affected circuits, carried out insulation resistance testing, checked for moisture and loose connections, replaced the identified faulty component, and initiated a preventive maintenance schedule to avoid future RCCB tripping. - Close</t>
  </si>
  <si>
    <t>02-Sep-25</t>
  </si>
  <si>
    <t>INC_DLFTP5_TBS_1430</t>
  </si>
  <si>
    <t>What: water leakage has observed inside the IT store area, originating from the VRV (Variable Refrigerant Volume) unit. The issue was traced to a chocked drain line, which led to moisture accumulation and subsequent leakage. How: The drain line of the VRV unit was chocked due to booster pump malfunctioning, resulting in water overflow and moisture droplets forming in the surrounding area at IT store.</t>
  </si>
  <si>
    <t>We contacted the OEM vendor to inspect and fix the booster pump and drain line, made sure the blockage was cleared, and set up regular maintenance with trained staff to check for problems. I also arranged to install moisture sensors in the IT store to catch leaks early . - Close</t>
  </si>
  <si>
    <t>01-Sep-25</t>
  </si>
  <si>
    <t>INC_DLFTP_TBS_1429</t>
  </si>
  <si>
    <t>one webcam is missing/misplace from Zone B seat no. 75. How: The workstation area remained accessible to all employees/ Local IT team and our staff in between and after business hours. The area was not locked, and no sign-out record exists for the webcam. There was no authorized request to move or remove the device.</t>
  </si>
  <si>
    <t>Webcam was misplaced due to unrestricted access to the workstation area,, and no formal process for tracking or authorizing the movement of client equipment inside the premises where the site vulnerability assessment inside office is taken care by Topsoe. In case of assistance of security plan, we can suggest the best governance and integration method. As of now lack of technological measures to counter discrepancies have been identified period. We as TS can suggest the internal protocols (managed by Client  team) and technological controls that needs to be envisaged, implemented &amp; incorporated - Close</t>
  </si>
  <si>
    <t>INC_DLFCC10B14_TBS_1425</t>
  </si>
  <si>
    <t>Floor ceiling damage and water leakage due to heavy rain How: Leakage caused by heavy rainfall</t>
  </si>
  <si>
    <t>Entire ceiling was redone and the wall was repainted  - Close</t>
  </si>
  <si>
    <t>29-Aug-25</t>
  </si>
  <si>
    <t>INC_DLFBCC10_TBS_1414</t>
  </si>
  <si>
    <t>Access control of 10th floor common area is not working properly, Tailgating, intrusion, trespassing.</t>
  </si>
  <si>
    <t>the inhouse the attended the complaint and increase the speed of closer to ensure door proper working. - Close</t>
  </si>
  <si>
    <t>28-Aug-25</t>
  </si>
  <si>
    <t>INC_DLFBCC10_TBS_1412</t>
  </si>
  <si>
    <t>What: False alarm activated at the floor How: MCP pulled by the project vendor</t>
  </si>
  <si>
    <t>The team has reached at the placed and reset the MCP and fire panel and brief the project team to avoid to such things in future. - Close</t>
  </si>
  <si>
    <t>26-Aug-25</t>
  </si>
  <si>
    <t>INC_BPTPCC13_TBS_1403</t>
  </si>
  <si>
    <t>What: False alarm activated on the 13th floor How: Smoke detector activated during tiles cutting by project team</t>
  </si>
  <si>
    <t>All project contractors and subcontractors have been re-briefed on site-specific SOPs for construction activities near fire detection equipment. - Close</t>
  </si>
  <si>
    <t>25-Aug-25</t>
  </si>
  <si>
    <t>INC_DLFCG10_TBS_1399</t>
  </si>
  <si>
    <t>What: water leakage issue inside the  cafeteria from CSU How: drain line moisture water leakage issue.</t>
  </si>
  <si>
    <t>A full inspection and repair of the drainage system will be conducted to address the moisture buildup issue, followed by the implementation of a regular maintenance schedule and collaboration with the vendor team to prevent future water leakage. Additionally, a moisture detection system will be considered to monitor and detect any issues early on. - Close</t>
  </si>
  <si>
    <t>22-Aug-25</t>
  </si>
  <si>
    <t>INC_DLFTP5_TBS_1395</t>
  </si>
  <si>
    <t>What : Fire alarm activated due to aroma fregnanc spray on detector Where : 5th floor washroom passage How :  aroma dispenser spray on the detector</t>
  </si>
  <si>
    <t>Same time we have Relocated aroma dispenser away from the detector and Instructed housekeeping and maintenance teams not to place any spray/dispenser within 2–3 meters of detectors also we have conduct the training sensitize staff regarding placement of dispensers or any spraying activity near detectors, also we have checked Review all other floors for similar risk and rectify placements proactively. - Close</t>
  </si>
  <si>
    <t>INC_DLFBCC10_TBS_1394</t>
  </si>
  <si>
    <t>The access control of the BMS room is not getting locked properly.</t>
  </si>
  <si>
    <t>"The issue was attended to by the in-house team, and the door closer speed was increased to ensure the door closes properly." - Close</t>
  </si>
  <si>
    <t>20-Aug-25</t>
  </si>
  <si>
    <t>INC_DT16_TBS_1386</t>
  </si>
  <si>
    <t>What: Dog entered the 16th floor common area. Where: 16th floor common area How : From the back side construction area.</t>
  </si>
  <si>
    <t>THE EXIT DOOR IS CLOSED NOW. - Close</t>
  </si>
  <si>
    <t>19-Aug-25</t>
  </si>
  <si>
    <t>INC_BPTPCC13_TBS_1379</t>
  </si>
  <si>
    <t>What : access controller got faulty Where : 13th floor Trintech main gate How : Controller got faulty</t>
  </si>
  <si>
    <t>Same has been raised the concern to the IT team and they have checked and found some internal glitch in the software, IT team troubleshot the controller software, now System rebooted and reconfigured to restore normal operations.Monitoring has been enabled to track recurrence. - Close</t>
  </si>
  <si>
    <t>INC_BPTPCC9_TBS_1378</t>
  </si>
  <si>
    <t>Client : Naviga, Apcer, Rohm What : 100kVA UPS Module fan failure Where : 9th floor UPS Room How : RCA awaited from OEM (Numeric) team</t>
  </si>
  <si>
    <t>INC_BPTPCC15_TBS_1377</t>
  </si>
  <si>
    <t>What: Seepage issue re-occurred due to heavy rain Where: Near C-2 washroom passage area at 15th floor How: Due to water leakage from the terrace area</t>
  </si>
  <si>
    <t>Carry out thorough inspection of terrace waterproofing.  Apply proper waterproofing treatment instead of temporary patching.  Conduct preventive maintenance checks before monsoon season. now Builder team carried out waterproofing work at the terrace area to seal all leak points.  After completion, no further leakage has been observed during subsequent rains.  Monitoring will continue during the next rainfall to ensure long-term effectiveness. - Close</t>
  </si>
  <si>
    <t>INC_DLFCG10_TBS_1374</t>
  </si>
  <si>
    <t>Incident description: ceiling Ac vent down to the ground.</t>
  </si>
  <si>
    <t>Team had requested building team to change the fitout working hours, and checked physically all vents, grills installed at 10th workstation areas. - Close</t>
  </si>
  <si>
    <t>18-Aug-25</t>
  </si>
  <si>
    <t>INC_DLFTP5_TBS_1369</t>
  </si>
  <si>
    <t>Fire sniper system gas has leaked and pressure showing is in red in Guage. How :  Gas has released automatically.</t>
  </si>
  <si>
    <t>Notified the maintenance team for immediate inspection and gas refilling and Initiated a 72-hour observation period after refilling the gas. - Close</t>
  </si>
  <si>
    <t>INC_BPTPCC9_TBS_1363</t>
  </si>
  <si>
    <t>What : Mold spots on the walls due to moisture. Where : Near reception area How : Moisture on the floor due to Condensation.</t>
  </si>
  <si>
    <t>Immediate Cleaning &amp; Treat. Moisture Control – Improved ventilation near the reception area to minimize condensation and reduce humidity levels.ment – Affected wall areas have been cleaned and treated with an anti-fungal solution to remove existing mold growth. Preventive Measures – Regular monitoring and inspection of the area will be carried out to ensure mold does not reoccur. Awareness &amp; Follow-up – Team instructed to promptly report any early signs of mold or moisture to enable immediate action. - Close</t>
  </si>
  <si>
    <t>14-Aug-25</t>
  </si>
  <si>
    <t>INC_DLFCG_TBS_1349</t>
  </si>
  <si>
    <t>one PWC employee slipped and fell on the tower D ground floor and got injured.</t>
  </si>
  <si>
    <t>Builders has been asked to keep it dry or put any kind of caution signage during rain - Close</t>
  </si>
  <si>
    <t>12-Aug-25</t>
  </si>
  <si>
    <t>INC_DLFBCC10_TBS_1341</t>
  </si>
  <si>
    <t>Fan failure issue with the 150 KVA UPS.</t>
  </si>
  <si>
    <t>The OEM was informed to replace the faulty fan, and the fan has been replaced by the UPS OEM. - Close</t>
  </si>
  <si>
    <t>INC_DLF4_TBS_1340</t>
  </si>
  <si>
    <t>minor water dripping issue from the above floor</t>
  </si>
  <si>
    <t>The dripping issue was reported to the building team for rectification, and it has been resolved." - Close</t>
  </si>
  <si>
    <t>INC_DLFCC10BC_TBS_1338</t>
  </si>
  <si>
    <t>A facade toughened glass panel broke and fell to the floor. How It Happened: It appears the glass cracked due to spontaneous thermal stress, which caused it to break and fall.</t>
  </si>
  <si>
    <t>Facade change the next day - Close</t>
  </si>
  <si>
    <t>11-Aug-25</t>
  </si>
  <si>
    <t>INC_DT16_TBS_1334</t>
  </si>
  <si>
    <t>What: Builder chiller plant was tripping and malfunctioning due to which cooling affected Where: 16th floor How: Builder chiller plant was tripping and malfunctioning</t>
  </si>
  <si>
    <t>Rectification has been done air pocket's has been release  - Close</t>
  </si>
  <si>
    <t>08-Aug-25</t>
  </si>
  <si>
    <t>INC_DLFCC10BC_TBS_1322</t>
  </si>
  <si>
    <t>Zelestra Receptionist while stepping out of the restrooms accidentally falls and she attempts to hold on to the steel baffles installed to cover the restrooms however two baffles came loose and could not prevent the fall. while the issue has been notified to the concerned stakeholders to check on all baffles as there are more have been found to be loosely installed.</t>
  </si>
  <si>
    <t>Necessary actions taken - Close</t>
  </si>
  <si>
    <t>07-Aug-25</t>
  </si>
  <si>
    <t>INC_BPTPCC11_TBS_1309</t>
  </si>
  <si>
    <t>MCB tripped (U3 Y8). How: Root cause could not be identified immediately as the floor was operational at the time</t>
  </si>
  <si>
    <t>Inhouse team was aligned to inspect the issue and found that MCB U3 Y8 had tripped. Upon checking the circuit, earth leakage was identified. The faulty earthing cable was immediately replaced. Post-replacement, the circuit was tested and no further tripping was observed. The issue is now resolved. - Close</t>
  </si>
  <si>
    <t>INC_BPTPCC14_TBS_1307</t>
  </si>
  <si>
    <t>False fire alarm is activated. How: MCP Mistakenly pulled by ZS visitor</t>
  </si>
  <si>
    <t>Technical Action: Reset MCP and FAS panel, confirm system is functioning normally.  Communication: Make public announcement as per standard speech to avoid panic.  Training &amp; Awareness: Conducted briefing session for ZS security to ensure active monitoring during visitor activities. also Place clear “Emergency Use Only” signage on MCPs in visible languages - Close</t>
  </si>
  <si>
    <t>06-Aug-25</t>
  </si>
  <si>
    <t>INC_BPTPCC15_TBS_1305</t>
  </si>
  <si>
    <t>Seepage issue observed in Core-2 washroom passage area. How: Caused due to heavy rainfall</t>
  </si>
  <si>
    <t>Inspected the affected passage area and identified seepage entry points.  Applied waterproof sealant to cracks/joints in the wall and flooring.  Checked and cleaned external drainage outlets to prevent water accumulation.  Planned preventive maintenance for periodic inspection before monsoon season. - Close</t>
  </si>
  <si>
    <t>INC_DLFBCC10_TBS_1303</t>
  </si>
  <si>
    <t>Fire alarm activated. How: False alarm triggered due to ongoing project work</t>
  </si>
  <si>
    <t>Inform the Project team to be more precautiou going forward - Close</t>
  </si>
  <si>
    <t>INC_BPTPCC9_TBS_1302</t>
  </si>
  <si>
    <t>smell in drinking water</t>
  </si>
  <si>
    <t>All existing water jars to be replaced immediately.  Vendor to provide batch-wise quality reports for verification.  Additional quality checks to be conducted before future supplies. - Close</t>
  </si>
  <si>
    <t>INC_DLF4_TBS_1301</t>
  </si>
  <si>
    <t>Main WC line has been blocked</t>
  </si>
  <si>
    <t>The team had reached the site to clean the WC line using fire pressure, but the work could not be completed. Therefore, we arranged for an external vendor to carry out drainoscopy work. The WC line has now been successfully cleared..  - Close</t>
  </si>
  <si>
    <t>INC_DLFBCC10_TBS_1299</t>
  </si>
  <si>
    <t>Female employee from client (PubMatic) floor fainted</t>
  </si>
  <si>
    <t>Taken to Medanta along with Pubmatic HR - Close</t>
  </si>
  <si>
    <t>INC_DLFBCC3_TBS_1298</t>
  </si>
  <si>
    <t>What: Improper baggage checking. How: Outgoing garbage was not checked properly by the security team</t>
  </si>
  <si>
    <t>Security and facility team has been advised to follow the Gate pass protocol. - CloseBrefing to the security team to adhere and keep tab on the material movement as per attached SOP - Close</t>
  </si>
  <si>
    <t>INC_DLFBCC10_TBS_1297</t>
  </si>
  <si>
    <t>Fire Passage found blocked. How: Project team place some debris at the fire passage</t>
  </si>
  <si>
    <t>Inform the vendor not to repeat the things again - Close</t>
  </si>
  <si>
    <t>05-Aug-25</t>
  </si>
  <si>
    <t>INC_DLFCB65_TBS_1290</t>
  </si>
  <si>
    <t>Description Of Incident: Water dripping from the ceiling in the men's washroom in a cubicle. How: Due to the project work going on the above floor.</t>
  </si>
  <si>
    <t>Immediately stopped project work on the above floor and escalated to the builder for doing such jobs during weekend with full safety. - Close</t>
  </si>
  <si>
    <t>INC_BPTPCC10_TBS_1289</t>
  </si>
  <si>
    <t>Security guard has found blue tooth speaker at client desk where entry in lost &amp; found has not done. How: Process not followed</t>
  </si>
  <si>
    <t>The Bluetooth speaker has now been properly logged in the Lost &amp; Found register ,The responsible security personnel have been counseled on following proper Lost &amp; Found protocols.  A refresher briefing has been conducted for all security staff regarding Lost &amp; Found SOPs.  Supervisors have been instructed to conduct random audits of the Lost &amp; Found register to ensure compliance. - Close</t>
  </si>
  <si>
    <t>04-Aug-25</t>
  </si>
  <si>
    <t>INC_BPTPCC15_TBS_1286</t>
  </si>
  <si>
    <t>What:  Concern Regarding Office Conduct Impacting Workplace Environment. Where: Atkins How: Unprofessional behaviour by pantry staff.</t>
  </si>
  <si>
    <t>The pantry staff involved have been counseled and given a formal warning.  A refresher training on professional conduct, hygiene, and customer service has been conducted for all pantry personnel.  The vendor/service provider has been asked to improve their staff monitoring and supervision process.  Periodic behavioral audits will be scheduled going forward to ensure compliance. - Close</t>
  </si>
  <si>
    <t>INC_BPTPCC13_TBS_1284</t>
  </si>
  <si>
    <t>False alarm activated. How: Due to faulty smoke detector</t>
  </si>
  <si>
    <t>The in-house team immediately checked the Fire Alarm System (FAS) panel and identified that the smoke detector in the dishwasher area had been activated. The detector was cleaned, and the panel was reset. An email was initiated to the project team highlighting the issue of repeated activations from the same detector. The project vendor has since replaced the faulty smoke detector with a new one to resolve the issue. - Close</t>
  </si>
  <si>
    <t>INC_BPTPCC9_TBS_1281</t>
  </si>
  <si>
    <t>Water condensation observed on the copper pipe due to a low temperature set point. How: Set point of the split unit was set too low, leading to condensation on the copper line</t>
  </si>
  <si>
    <t>The team was aligned to inspect the issue and observed water condensation on the copper line, which was causing water droplets to drip. It was found that the temperature set point of the split unit was too low, contributing to the condensation. The set point was subsequently increased to an optimal level. Since this adjustment, no further condensation has been observed on the copper pipe.  - Close</t>
  </si>
  <si>
    <t>03-Aug-25</t>
  </si>
  <si>
    <t>INC_BPTPCC13_TBS_1277</t>
  </si>
  <si>
    <t>What: water droplets observed from sprinkler line intermittently (every 5 Minutes) Where: TS suites -4 How: Due to a loose sprinkler valve</t>
  </si>
  <si>
    <t>his issue was highlighted to the builder team for rectification. Upon inspection, they found that the flexible pipe was loose, which caused water leakage from the sprinkler line. To resolve this, the builder team drained the sprinkler line, properly tightened the flexible pipe with the sprinkler head, and then recharged the sprinkler line. After the corrective work, no leakage was observed during the testing. - Close</t>
  </si>
  <si>
    <t>02-Aug-25</t>
  </si>
  <si>
    <t>INC_DT16_TBS_1273</t>
  </si>
  <si>
    <t>One of the staff of Sulaksham vendor whose name was Jasram was using the TS employee ID card to access the Table Space floor. The security supervisor observed and Informed to Reginal security lead. The access card was confiscated as per the direction of Security lead.</t>
  </si>
  <si>
    <t>ID card confiscated. Informed to the TS employee whose ID was found. - Close</t>
  </si>
  <si>
    <t>30-Jul-25</t>
  </si>
  <si>
    <t>INC_BPTPCC_TBS_1262</t>
  </si>
  <si>
    <t>The water supply suddenly stopped</t>
  </si>
  <si>
    <t>Immediate coordination was carried out with the builder/facility team to refill the overhead water tank installed on the terrace, resulting in restoration of the water supply. we have advised to regularly monitor tank levels and ensure the existing automated water level monitoring system (if available) is functional. Additionally, the preventive maintenance schedule is to be reviewed and strictly implemented to prevent recurrence of such issues - Close</t>
  </si>
  <si>
    <t>Facility Coordinator BPTP</t>
  </si>
  <si>
    <t>INC_DLFCC8B_TBS_1260</t>
  </si>
  <si>
    <t>Female security personnel fainted at the reception area. How: The incident occurred due to suspected lack of oxygen, causing the staff member to lose consciousness.</t>
  </si>
  <si>
    <t>Proper medical check completed - Close</t>
  </si>
  <si>
    <t>27-Jul-25</t>
  </si>
  <si>
    <t>INC_DLFCB64_TBS_1247</t>
  </si>
  <si>
    <t>MCB tripped, power supply cut from the workstations due to a faulty system wire.</t>
  </si>
  <si>
    <t>Faulty wire has been removed and MCB has been switched on and kept under observation - Close</t>
  </si>
  <si>
    <t>Puneet Gautam</t>
  </si>
  <si>
    <t>29-Jul-25</t>
  </si>
  <si>
    <t>INC_DLFCG10_TBS_1246</t>
  </si>
  <si>
    <t>water dripping from the 10th floor ceiling.</t>
  </si>
  <si>
    <t>Issue has been resolved by the vendor partner and  they have briefed about being mindful about the work done  - Close</t>
  </si>
  <si>
    <t>INC_BPTPCC9_TBS_1245</t>
  </si>
  <si>
    <t>Access control of 6 pax and 12 pax meeting room are non-functional.</t>
  </si>
  <si>
    <t>The issue was immediately highlighted to the in-house team, and a new power socket was installed for the access controller. Following the installation, the access control system resumed normal functionality. Going forward, we will ensure that all necessary power and connectivity provisions are considered during any new system installations to avoid such incidents. - Close</t>
  </si>
  <si>
    <t>Dushyant Singh</t>
  </si>
  <si>
    <t>28-Jul-25</t>
  </si>
  <si>
    <t>INC_DLFCC10B14_TBS_1241</t>
  </si>
  <si>
    <t>Ceiling tile of lady's washroom has fallen off due to pigeon and rat entry</t>
  </si>
  <si>
    <t>The team has identified the location where the gap was present. The builder has since refilled the gap to prevent such issues from occurring in the future. - Close</t>
  </si>
  <si>
    <t>Yukta Mathpal</t>
  </si>
  <si>
    <t>INC_BPTPCC_TBS_1238</t>
  </si>
  <si>
    <t>Client-  Thermofisher Vehicle Damage in the parking when the building team park the vehicle.</t>
  </si>
  <si>
    <t>The responsible parties have been identified.  Repairs have been scheduled/completed for the affected vehicles.  The building team has been briefed on revised parking protocols and reminded of their responsibilities to prevent future occurrences.  Additional signage and access controls have been recommended/implemented to minimize risk. - Close</t>
  </si>
  <si>
    <t>25-Jul-25</t>
  </si>
  <si>
    <t>INC_BPTPCC15_TBS_1236</t>
  </si>
  <si>
    <t>Mr. Divya Kumar Pandey, one of employees, slipped in the washroom due to a wet and slippery floor</t>
  </si>
  <si>
    <t>Same has been Security personnel promptly responded and administered first aid to the injured employee at the location, also ensure regular and documented housekeeping checks in all common areas, especially washrooms, at frequent intervals, also we have conduct training and awareness for housekeeping staff on immediate response to spills and the importance of safety signage,Maintain cleaning logs with time-stamped entries and staff signatures to track routine inspections.  - Close</t>
  </si>
  <si>
    <t>FE Tech BPTPCC</t>
  </si>
  <si>
    <t>INC_DLFBCC3_TBS_1234</t>
  </si>
  <si>
    <t>A housekeeping staff member slipped and tripped on the cafe floor sue to oil spillage.</t>
  </si>
  <si>
    <t>The team is intructed to work more carefully going forward - Close</t>
  </si>
  <si>
    <t>INC_BPTPCC9_TBS_1232</t>
  </si>
  <si>
    <t>Temperature is not maintained as per standard due to air blockage in the chiller line</t>
  </si>
  <si>
    <t>Same has been informed to the builder team, internal management as well. Builder team is working on it for resolving the issue, At the same time, the builder team did air punching in the terrace area due to which air came out of the line and the temperature got maintained as per statndard  - Close</t>
  </si>
  <si>
    <t>INC_BPTPCC9_TBS_1230</t>
  </si>
  <si>
    <t>100kVA ups module fan failure</t>
  </si>
  <si>
    <t>Same has been replaced faulty fan by the OEM team also Maintenance schedule reviewed to ensure periodic cleaning and inspection of fan filters Preventive Maintenance (PM) checklist updated to include more frequent checks for dust accumulation on fans and filters Now ups fan is working fine and all the ups system are working healthyy - Close</t>
  </si>
  <si>
    <t>22-Jul-25</t>
  </si>
  <si>
    <t>INC_DLF10B5_TBS_1206</t>
  </si>
  <si>
    <t>Description Of Incident:  water dripping issue from the above floor (6th floor)</t>
  </si>
  <si>
    <t>Reached the team at the affected area and informed the builder to address and resolve the issue. The builder team has resolved the issue successfully. - Close</t>
  </si>
  <si>
    <t>21-Jul-25</t>
  </si>
  <si>
    <t>INC_BPTPCC15_TBS_1197</t>
  </si>
  <si>
    <t>False Alarm activated during sofa cleaning</t>
  </si>
  <si>
    <t>The in-house team inspected the area and confirmed that a false alarm was triggered in the C-2 area on the 15th floor, Smoke detector was cleaned at the same time and reset the FAS panel also announcement has been done as per standard speech. And housekeeping team has been strictly briefed to follow proper procedures during cleaning activities to avoid such incidents in the future. - Close</t>
  </si>
  <si>
    <t>18-Jul-25</t>
  </si>
  <si>
    <t>INC_DLFCB64_TBS_1181</t>
  </si>
  <si>
    <t>MCP pushed by the employee accidentally at reception, how: While playing around</t>
  </si>
  <si>
    <t>Team had checked for the availibility of MCP key at site &amp; simultaneously, silenced the Fire alarm panel and reset the MCP. Client has been communicated on such scenarios where they to instruct the employees and not get involved in such activities. - Close</t>
  </si>
  <si>
    <t>17-Jul-25</t>
  </si>
  <si>
    <t>INC_DLF8B_TBS_1170</t>
  </si>
  <si>
    <t>water dripping issue from the top floor, 2 no's ceiling tiles damaged</t>
  </si>
  <si>
    <t>14-Jul-25</t>
  </si>
  <si>
    <t>INC_DLFTP5_TBS_1151</t>
  </si>
  <si>
    <t>MCP automatically alarm generated due to faulty reason (Zone B -MCP No-206)</t>
  </si>
  <si>
    <t>Inspect and repair or replace faulty MCP units.  Check and secure all wiring connections.  Ensure MCP enclosures are sealed against moisture.  Clean MCP components to remove dust and debris.  Stabilize the power supply to the alarm system.  Test and service the fire alarm control panel.  Implement regular maintenance and monitoring schedules. - Close</t>
  </si>
  <si>
    <t>Anoop Singh</t>
  </si>
  <si>
    <t>INC_DLFCG7_TBS_1149</t>
  </si>
  <si>
    <t>one of pwc employee suddenly started having severe stomach pain</t>
  </si>
  <si>
    <t>Send Employee to nearest hospital  - CloseSuggested to employee don't take the food from outside  - Close</t>
  </si>
  <si>
    <t>FE CG</t>
  </si>
  <si>
    <t>11-Jul-25</t>
  </si>
  <si>
    <t>INC_BPTPCC13_TBS_1135</t>
  </si>
  <si>
    <t>Water Leak ageing from pendant sprinkler line</t>
  </si>
  <si>
    <t>This issue was highlighted to the builder team for rectification. Upon inspection, they found that the flexible pipe was loose, which caused water leakage from the sprinkler line. To resolve this, the builder team drained the sprinkler line, properly tightened the flexible pipe with the sprinkler head, and then recharged the sprinkler line. After the corrective work, no leakage was observed during the testing. - Close</t>
  </si>
  <si>
    <t>05-Jul-25</t>
  </si>
  <si>
    <t>INC_DLFBCC10_TBS_1109</t>
  </si>
  <si>
    <t>The glass appears to have cracked due to spontaneous thermal stress. which caused it to break and fall.</t>
  </si>
  <si>
    <t>DLF Team has replaced the broken glass - Close</t>
  </si>
  <si>
    <t>Rupesh Srivastav</t>
  </si>
  <si>
    <t>03-Jul-25</t>
  </si>
  <si>
    <t>INC_DLFBCC10_TBS_1098</t>
  </si>
  <si>
    <t>Security Lady guard Archana had fainted near reception area.</t>
  </si>
  <si>
    <t>Lady guard has been advised to take proper rest for recovery. - Close</t>
  </si>
  <si>
    <t>02-Jul-25</t>
  </si>
  <si>
    <t>INC_BPTPCC15_TBS_1095</t>
  </si>
  <si>
    <t>Minor water leak ageing from the fire line where on the butterfly valve above the ceiling areas</t>
  </si>
  <si>
    <t>The water droplet leakage issue has been escalated to the builder team for necessary rectification.  Continuous follow-up is being maintained with the builder to ensure timely resolution.  Joint inspection will be conducted with the builder team during the upcoming weekend.  Required repair or replacement of the affected valve/pipe section will be carried out based on inspection findings.  Final resolution will be confirmed post-rectification, and preventive measures will be taken to avoid recurrence. - Close</t>
  </si>
  <si>
    <t>INC_BPTPCC10_TBS_1088</t>
  </si>
  <si>
    <t>15kVA UPS No-4 went to bypass mode</t>
  </si>
  <si>
    <t>UPS OEM has Team visited the site and identified that the UPS PFC (Power Factor Correction) card is faulty. The replacement PFC card has been received from the OEM team.  However, the client has denied permission for a shutdown during working days. We have already initiated communication with the client requesting a shutdown to replace the faulty PFC card. The client has confirmed that the replacement can be carried out on Saturday.  Accordingly, the same has been informed to the OEM vendor partner to proceed with the replacement on the scheduled day, the oem team has coming on the site in sat and replaced the faulty PFC card now all systems are working healthy - Close</t>
  </si>
  <si>
    <t>29-Jun-25</t>
  </si>
  <si>
    <t>INC_DLFCG7_TBS_1076</t>
  </si>
  <si>
    <t>What: Microwave plate broken by security personnel How: while reheating the food</t>
  </si>
  <si>
    <t>Team member has been briefed to be mindful for future  reference and the new plate  has been procured through Petty cash - Close</t>
  </si>
  <si>
    <t>28-Jun-25</t>
  </si>
  <si>
    <t>INC_BPTPCC12_TBS_1073</t>
  </si>
  <si>
    <t>Non VRV split unit not effectively cooling in the Siemens HUB room</t>
  </si>
  <si>
    <t>Today vendor has visit at site and conduct nitrogen pressure test and soap bubble test to identify leak points, but there is no any leakages found in the out door and indoor unit, and same has been charge the line with correct type of quantity of refrigerant as per required also we will planned quarterly ppm they have identified the leak inspection test and refrigerant pressure test in quarterly ppm checklist going forward   - Close</t>
  </si>
  <si>
    <t>26-Jun-25</t>
  </si>
  <si>
    <t>INC_BPTPCC_TBS_1068</t>
  </si>
  <si>
    <t>"On mentioned 26th June 25 around 10PM, a physical/verbal altercation occurred between [Ashu Kumar- Security guard] and [Pradeep Kumar - HK Supervisor] in the common area of the office premises.  According to eyewitness accounts and preliminary observations, the incident began as a verbal disagreement regarding personal comments, The situation escalated when both parties raised their voices and used aggressive language. Despite attempts by nearby colleagues to de-escalate the situation, the confrontation intensified, and physical contact was reportedly made by one or both individuals.  Security/intervention was called, and the situation was brought under control within few minutes Both employees were separated and escorted to different areas to prevent further escalation. No severe injuries were reported, but one or both individuals may have sustained minor bruises or emotional distress.  An internal investigation has been initiated to gather statements from witnesses and determine the appropriate course of action in accordance with company policy. Both individuals have been temporarily relieved from duty pending the outcome of the investigation.</t>
  </si>
  <si>
    <t>Depending on the severity and circumstances of the altercation, disciplinary action range from  warning to terminationProvide training on conflict resolution, de-escalation techniques, and workplace violence prevention - Close</t>
  </si>
  <si>
    <t>23-Jun-25</t>
  </si>
  <si>
    <t>INC_DLFBCC10_TBS_1042</t>
  </si>
  <si>
    <t>Wastewater is dripping inside the Handicap washroom from the top floor</t>
  </si>
  <si>
    <t>The team reached the location, informed the DLF team, and stopped the water supply to the floor. - Close</t>
  </si>
  <si>
    <t>FE Tech GG</t>
  </si>
  <si>
    <t>INC_DLFBCC10_TBS_1041</t>
  </si>
  <si>
    <t>Water dripping from the CSU unit</t>
  </si>
  <si>
    <t>Cleaned the drain line by the building team  - Close</t>
  </si>
  <si>
    <t>24-Jun-25</t>
  </si>
  <si>
    <t>INC_BPTPCC14_TBS_1040</t>
  </si>
  <si>
    <t>MCP pulled mistakenly by HK by during cleaning</t>
  </si>
  <si>
    <t>MCP and FAS panel has reset by the MST inhouse team and the system is now functioning normally, All House keeping staff were briefed and re-trained on emergency equipment protocol,announcement has been done as standard TS guide line.  - Close</t>
  </si>
  <si>
    <t>21-Jun-25</t>
  </si>
  <si>
    <t>INC_DLFCG9_TBS_1038</t>
  </si>
  <si>
    <t>Mr. Sanjay Kumar Facility executive TS, took the store key from the reception. He took out the material from the store at 9 floor cyber greens and gave it to Abdul kuddus -Pantry boy and Sukdev Minz - House boy and  sent the material to building No- 5 without informing security. The material was sent out from Cyber greens to Building no 5 where guard Harshit detected material in their pockets. There was no approval of Regional lead nor gate pass were made for material transfer.</t>
  </si>
  <si>
    <t>Refer the attached investigation report - Close</t>
  </si>
  <si>
    <t>19-Jun-25</t>
  </si>
  <si>
    <t>INC_DLF8B_TBS_1031</t>
  </si>
  <si>
    <t>Fire Alaram not activated during the fire drill</t>
  </si>
  <si>
    <t>1-MST missed pulling the MCP during mockdrill, hence warning letter issued to him and training provided - Close2-Fire alarm system has been integrated with Access control system and programming and testing has been done - Close3- Facility team conducted meeting and shared the information about description of assembly area and TS placard - Close</t>
  </si>
  <si>
    <t>17-Jun-25</t>
  </si>
  <si>
    <t>INC_DLFCC10B14_TBS_1019</t>
  </si>
  <si>
    <t>Rainwater leakage issue from the terrace</t>
  </si>
  <si>
    <t>13-Jun-25</t>
  </si>
  <si>
    <t>INC_BPTPCC9_TBS_1004</t>
  </si>
  <si>
    <t>100 kVA ups module fan failure alarm showing on the display</t>
  </si>
  <si>
    <t>10-Jun-25</t>
  </si>
  <si>
    <t>INC_TH10_TBS_988</t>
  </si>
  <si>
    <t>CSU getting tripped and not maintaining standard temperature</t>
  </si>
  <si>
    <t>Belts have been replaced and air pockets has been released - Close</t>
  </si>
  <si>
    <t>Akshay Singh</t>
  </si>
  <si>
    <t>07-Jun-25</t>
  </si>
  <si>
    <t>INC_TH9_TBS_984</t>
  </si>
  <si>
    <t>Two Horizon Centre, 9th Floor</t>
  </si>
  <si>
    <t>water logging found under the raised floor of UPS room and workstation area</t>
  </si>
  <si>
    <t>Opening gaps has been sealed with cement - Close</t>
  </si>
  <si>
    <t>30-May-25</t>
  </si>
  <si>
    <t>INC_BPTPCC13_TBS_952</t>
  </si>
  <si>
    <t>Water leak ageing from the ceiling in the handicapped washroom</t>
  </si>
  <si>
    <t>Same has been aligned to the builder team to check the leak ageing issue and share root cause for us, builder team checked and found there is leak aging from the PVC pipe line which was going to the flushing tank. same time the leaking joint in the PVC line was repaired with proper sealing material.  Water flow was restored and tested to ensure no further leakage.  - Close</t>
  </si>
  <si>
    <t>28-May-25</t>
  </si>
  <si>
    <t>INC_BPTPCC13_TBS_944</t>
  </si>
  <si>
    <t>False Aram Activate</t>
  </si>
  <si>
    <t>In House team has checked the location and found false alarm has activated on the particular location, same has been informed to the client and internal management as well after that silence the FAS panel and cleaned the detector and reset the FAS panel panel. also announcement has been done as per TS standard speech   - Close</t>
  </si>
  <si>
    <t>22-May-25</t>
  </si>
  <si>
    <t>INC_BPTPCC9_TBS_911</t>
  </si>
  <si>
    <t>Some water logging found under the raise flooring,</t>
  </si>
  <si>
    <t>Builder team and inhouse team with work together and Re-fix and seal the PVC line properly and Inspect all shaft pipe installations before closing the area also Train workers on proper pipe fitting techniques &amp; now it closed properly - Close</t>
  </si>
  <si>
    <t>19-May-25</t>
  </si>
  <si>
    <t>INC_DLFCG_TBS_892</t>
  </si>
  <si>
    <t>HVAC services not working with standards temperature</t>
  </si>
  <si>
    <t>AHU is under monitoring - Close</t>
  </si>
  <si>
    <t>INC_BPTPCC10_TBS_888</t>
  </si>
  <si>
    <t>Currency exchange vendor of clearwater has claimed that he forgot his currency envelop on the Clear water reception area from where it got misplaced now he is complaining that somebody stolen his envelop with currency and file a case against a pantry associate Mr. Ishu. at nearest police station where Cops has visited to our building premises to get the statement recorded.</t>
  </si>
  <si>
    <t>TS team has extended the support where inquiry was conducted police in station where support has been extended - Close</t>
  </si>
  <si>
    <t>16-May-25</t>
  </si>
  <si>
    <t>INC_DLFBCC10_TBS_876</t>
  </si>
  <si>
    <t>No Power back-up for the emergency lights.</t>
  </si>
  <si>
    <t>We have successfully connected the emergency lighting system to an alternate power source and coordinated with the vendor partner for an on-site visit. During the inspection process, two batteries were found to be faulty. These batteries have now been replaced. The UPS is currently operational and functioning as expected - Close</t>
  </si>
  <si>
    <t>13-May-25</t>
  </si>
  <si>
    <t>INC_BPTPCC_TBS_857</t>
  </si>
  <si>
    <t>Leak aging issue in the chiller line</t>
  </si>
  <si>
    <t>Builder team has aligned the OEM team to rectfy the issue where issue chiller line has been repaired and cooling has been resume as per given timeline  - Close</t>
  </si>
  <si>
    <t>08-May-25</t>
  </si>
  <si>
    <t>INC_BPTPCC13_TBS_842</t>
  </si>
  <si>
    <t>Car Damage Due to Parking Infrastructure</t>
  </si>
  <si>
    <t>Builder has agreed to reimburse amount under insurance act - Close</t>
  </si>
  <si>
    <t>Lipin Dua</t>
  </si>
  <si>
    <t>07-May-25</t>
  </si>
  <si>
    <t>INC_DLFCG9_TBS_839</t>
  </si>
  <si>
    <t>Mr. Alok was stopped the DLF team to park his vehicle as we have allocated different slots to Brillio team as per their request.</t>
  </si>
  <si>
    <t>We connected with the builder team and brief them on the slot allocation to Brillio team - Close</t>
  </si>
  <si>
    <t>Mohd Kamran</t>
  </si>
  <si>
    <t>06-May-25</t>
  </si>
  <si>
    <t>INC_BPTPCC9_TBS_837</t>
  </si>
  <si>
    <t>unauthorized disclosure of confidential pictures of House maid 1 by another house maid 2 while changing her clothes in washroom.</t>
  </si>
  <si>
    <t>Inform to UDS team for further action. warning letter has been issued along with deletion of all snaps taken on phone.and briefing has been done  - Close</t>
  </si>
  <si>
    <t>05-May-25</t>
  </si>
  <si>
    <t>INC_DLFCC8B_TBS_835</t>
  </si>
  <si>
    <t>Urinal glass Partition has been broken</t>
  </si>
  <si>
    <t>Cleaned the Glass particle &amp; informed with the Vendor to install new partition  - Close</t>
  </si>
  <si>
    <t>02-May-25</t>
  </si>
  <si>
    <t>INC_THC_TBS_830</t>
  </si>
  <si>
    <t>Two Horizon Center</t>
  </si>
  <si>
    <t>Due to heavy rainfall, some leakages observed from facade glass in the office area.</t>
  </si>
  <si>
    <t>Slicon sealant applied - Close</t>
  </si>
  <si>
    <t>28-Apr-25</t>
  </si>
  <si>
    <t>INC_DLFCG10_TBS_829</t>
  </si>
  <si>
    <t>The HVAC System was not effective and took a long time to maintain the ambient temp due to malfunction in one of the parts of the AHU</t>
  </si>
  <si>
    <t>Informed the Builder team to check the issue and rectify and in the meantime bypass the AHU to a different chiller plant and created a group with the builder team to moniter the temp on hourly basis - Close</t>
  </si>
  <si>
    <t>04-May-25</t>
  </si>
  <si>
    <t>INC_BPTPCC15_TBS_825</t>
  </si>
  <si>
    <t>Meeting Room Glass break</t>
  </si>
  <si>
    <t>Area has been barricade along with putting up warning signages. client spoc has been informed on replacement of toughened glass within 3-4 business day . toughened glass has been replaced   - Close</t>
  </si>
  <si>
    <t>30-Apr-25</t>
  </si>
  <si>
    <t>INC_DLFTP5_TBS_821</t>
  </si>
  <si>
    <t>A smoke detector got activated due to dishwasher machine steam while pantry staff washing Mugs.</t>
  </si>
  <si>
    <t>Brief given to team - Close</t>
  </si>
  <si>
    <t>Pankaj Kumar</t>
  </si>
  <si>
    <t>25-Apr-25</t>
  </si>
  <si>
    <t>INC_DLF8B_TBS_806</t>
  </si>
  <si>
    <t>Showing the Error in the 75 KVA UPS</t>
  </si>
  <si>
    <t>Informed to OEM team to further rectification  - Close</t>
  </si>
  <si>
    <t>INC_DLFCG7_TBS_804</t>
  </si>
  <si>
    <t>Water Logging issue inside the AHU room</t>
  </si>
  <si>
    <t>Team reached at the place &amp; Informed with the builder team  - Close</t>
  </si>
  <si>
    <t>INC_DLFBCC10_TBS_799</t>
  </si>
  <si>
    <t>Fire Alarm Triggered</t>
  </si>
  <si>
    <t>PA Announcement has been made to avoid any panic situation - Close</t>
  </si>
  <si>
    <t>24-Apr-25</t>
  </si>
  <si>
    <t>INC_BPTPCC10_TBS_791</t>
  </si>
  <si>
    <t>Rodent Infestation Threatening IT Assets and infra</t>
  </si>
  <si>
    <t>Rat Pad has been placed and paste control audit has been carried out to closed the gap if any - Close</t>
  </si>
  <si>
    <t>23-Apr-25</t>
  </si>
  <si>
    <t>INC_DLFTP5_TBS_784</t>
  </si>
  <si>
    <t>Due to water logging at 6th floor and we don't know from where the water is travelling and reaching the 5th floor. Specially on and near reception area.</t>
  </si>
  <si>
    <t>Brief to project team to take care - Close</t>
  </si>
  <si>
    <t>18-Apr-25</t>
  </si>
  <si>
    <t>INC_DLFTP5_TBS_770</t>
  </si>
  <si>
    <t>False fire alarm activated due to cleaning of vacuum filter,</t>
  </si>
  <si>
    <t>Breief team to take care  - Close</t>
  </si>
  <si>
    <t>17-Apr-25</t>
  </si>
  <si>
    <t>INC_BPTPCC13_TBS_769</t>
  </si>
  <si>
    <t>20kVA output short, there is no ups output</t>
  </si>
  <si>
    <t>issue has been resolved. - Close</t>
  </si>
  <si>
    <t>INC_BPTPCC11_TBS_762</t>
  </si>
  <si>
    <t>3 kVA ups malfunctioning which is feeding to the emergency light</t>
  </si>
  <si>
    <t>We have highlighted the issue to the OEM team, vendor has visited the site and checked the ups he found input supply connection loose or heating issue, same has tightened the cable and reset the ups , now ups is working fine and healthy condition   - Close</t>
  </si>
  <si>
    <t>13-Apr-25</t>
  </si>
  <si>
    <t>INC_DLFBCC10_TBS_743</t>
  </si>
  <si>
    <t>Showing the error L5</t>
  </si>
  <si>
    <t>Team Aligned  - Close</t>
  </si>
  <si>
    <t>14-Apr-25</t>
  </si>
  <si>
    <t>INC_TH10_TBS_739</t>
  </si>
  <si>
    <t>glass of the window has been found broken in Suite 4 of the Elan office.</t>
  </si>
  <si>
    <t>Ubed Ahemad  - Close</t>
  </si>
  <si>
    <t>Shweta Sharma</t>
  </si>
  <si>
    <t>11-Apr-25</t>
  </si>
  <si>
    <t>INC_BPTPCC_TBS_733</t>
  </si>
  <si>
    <t>Vehicle damage by valet driver at building parking basement</t>
  </si>
  <si>
    <t>Issue has been resolved - Close</t>
  </si>
  <si>
    <t>03-Apr-25</t>
  </si>
  <si>
    <t>INC_DLFBCC10_TBS_706</t>
  </si>
  <si>
    <t>RCCB tripped</t>
  </si>
  <si>
    <t>Repair the Faulty PDU - Close</t>
  </si>
  <si>
    <t>05-Apr-25</t>
  </si>
  <si>
    <t>INC_DLFTP5_TBS_703</t>
  </si>
  <si>
    <t>Morning Shift security guard was sleeping at Topsoe Floor</t>
  </si>
  <si>
    <t>Warning Letter has been issued - Close</t>
  </si>
  <si>
    <t>INC_DLFCG7_TBS_698</t>
  </si>
  <si>
    <t>One of the PWC employees banged his head on the stack parking ramp while coming out from his vehicle and got injured</t>
  </si>
  <si>
    <t>Employee was sent to the nearest hospital with the help of Builder's Ambulance  - Close</t>
  </si>
  <si>
    <t>02-Apr-25</t>
  </si>
  <si>
    <t>INC_DLFCG9_TBS_696</t>
  </si>
  <si>
    <t>Humming noise disturbance from the diffusers connected with floor AHU in the M/s Brillio office lobby area and meeting room</t>
  </si>
  <si>
    <t>Work has been rectified - Close</t>
  </si>
  <si>
    <t>01-Apr-25</t>
  </si>
  <si>
    <t>INC_DLFTP5_TBS_690</t>
  </si>
  <si>
    <t>Fire occurred in out skirting dry area of DLF TECH PARK with a distance of approx. 100 meter</t>
  </si>
  <si>
    <t>Fire alarm activated, Evacuation has been done within 3 minutes with the help of building where fire bigrade along with local police authority has been reached &amp; relevant action taken &amp; control the spread of fire to near by area. - Close</t>
  </si>
  <si>
    <t>28-Mar-25</t>
  </si>
  <si>
    <t>INC_DLF10B5_TBS_689</t>
  </si>
  <si>
    <t>One of the employees had severe pain in the spinal bone, resulting in no movement of upper body.</t>
  </si>
  <si>
    <t>Send to Hospital, along with Client SPOC &amp; family also called - Close</t>
  </si>
  <si>
    <t>INC_BPTPCC15_TBS_688</t>
  </si>
  <si>
    <t>MCP Pulled by CBRE Associate</t>
  </si>
  <si>
    <t>Inhouse team has checked and Reset the MCP and FAS panel at the same time - Close</t>
  </si>
  <si>
    <t>20-Mar-25</t>
  </si>
  <si>
    <t>INC_DLFTP5_TBS_653</t>
  </si>
  <si>
    <t>A false fire alarm was triggered in 5th floor lift lobby. (Builder area).</t>
  </si>
  <si>
    <t>Reset the fire alarm - Close</t>
  </si>
  <si>
    <t>18-Mar-25</t>
  </si>
  <si>
    <t>INC_DLFCC8B_TBS_651</t>
  </si>
  <si>
    <t>UPS modular failure</t>
  </si>
  <si>
    <t>Replaced the faulty part  - Close</t>
  </si>
  <si>
    <t>INC_TH10_TBS_645</t>
  </si>
  <si>
    <t>Builder has turned off the AHU and at there is no cooling in the workstation areas. Because outstanding payment has not been completed.</t>
  </si>
  <si>
    <t>BUILDING ENFORM  - Close</t>
  </si>
  <si>
    <t>Rishikant Gunjan</t>
  </si>
  <si>
    <t>INC_DLFTP5_TBS_642</t>
  </si>
  <si>
    <t>There is leakage from the 6th floor washroom drain line pipe which is falling drop by drop from the ceiling in the 5th floor ladies washroom.</t>
  </si>
  <si>
    <t>Issue has been resolved  - Close</t>
  </si>
  <si>
    <t>17-Mar-25</t>
  </si>
  <si>
    <t>INC_DLFBCC3_TBS_636</t>
  </si>
  <si>
    <t>What: seepage issue How: Loose connection with AC drain pipeline inside the wall.</t>
  </si>
  <si>
    <t>Repaired the Pipeline  - Close</t>
  </si>
  <si>
    <t>Helpdesk Team</t>
  </si>
  <si>
    <t>INC_DLFCG10_TBS_633</t>
  </si>
  <si>
    <t>Description Of Incident: Workstation partition broken</t>
  </si>
  <si>
    <t>The Alight SPOC was informed about it and  to educate  the team members on how to utilise the workspace - Close</t>
  </si>
  <si>
    <t>14-Mar-25</t>
  </si>
  <si>
    <t>INC_BPTPCC12_TBS_625</t>
  </si>
  <si>
    <t>UPS no-03 charger fault showing on the display</t>
  </si>
  <si>
    <t>New part has been installed in the UPS room - Close</t>
  </si>
  <si>
    <t>12-Mar-25</t>
  </si>
  <si>
    <t>INC_DLFCG10_TBS_618</t>
  </si>
  <si>
    <t>What*: MCP pulled by one of the Alight employees while accessing the fire door.</t>
  </si>
  <si>
    <t>Informed the SPOC to prevent visitor to move to such areas where MCP's are placed  - Close</t>
  </si>
  <si>
    <t>INC_BPTPCC11_TBS_616</t>
  </si>
  <si>
    <t>What: RCCB tripping issue of the workstation area How: Due to power cable issue -BPTPCC11_TBS_77721</t>
  </si>
  <si>
    <t>issue has been resolved, - Close</t>
  </si>
  <si>
    <t>10-Mar-25</t>
  </si>
  <si>
    <t>INC_DLFBCC10_TBS_604</t>
  </si>
  <si>
    <t>What: MCB tripping issue How: Electrical wire damaged under the raised floor.</t>
  </si>
  <si>
    <t>Replaced faulty wire  - Close</t>
  </si>
  <si>
    <t>INC_DLFBCC10_TBS_602</t>
  </si>
  <si>
    <t>What: Fan failure issue of the 75 kVA UPS How: Unknown</t>
  </si>
  <si>
    <t>Replaced the faulty Fan  - Close</t>
  </si>
  <si>
    <t>INC_DLFBCC10_TBS_601</t>
  </si>
  <si>
    <t>Security guard (Madnesh Kumar) found not wearing the uniform properly. Furthermore, the guard replied that he has not been provided as per his size. This was highlighted by TS CEO to Security Lead (NCR).</t>
  </si>
  <si>
    <t>Guard briefed. Guard in proper uniform updated. - Close</t>
  </si>
  <si>
    <t>26-Feb-25</t>
  </si>
  <si>
    <t>INC_DLFTP5_TBS_593</t>
  </si>
  <si>
    <t>Description:- A-shift guards have left their posts without any reliever. Even the security supervisor had briefed them to wait till the reliever comes. As per deployment 3 guards have deployed in B shift but only 01 no was present. Site vulnerable to multiple scenarios. Security lapse. Nonadherence to security and disciplinary protocols.</t>
  </si>
  <si>
    <t>Warning letter issued to the two security guards - Close</t>
  </si>
  <si>
    <t>06-Mar-25</t>
  </si>
  <si>
    <t>INC_DLFBCC10_TBS_591</t>
  </si>
  <si>
    <t>What: In RAW power DB single pole one MCB tripped.</t>
  </si>
  <si>
    <t>Done  - Close</t>
  </si>
  <si>
    <t>INC_DLFBCC10_TBS_590</t>
  </si>
  <si>
    <t>Incident Description:- When the consumable goods were  taken from the 10th floor to other floors, the pantry boy deputed for the job took more goods and informed security with incorrect data. In such a situation, today when the pantry boy Suraj Kumar informed that 50 pieces of sugar packets were going out to another floor. This was intercepted by Head security (NCR) and upon counting it was revealed that additional 68 sachets of sugar were moving from the 10 floor reception. The extra counts were confiscated by the security team. Upon preliminary investigation it was found that Mr. Jatin Negi (Facility team) provided the consumable goods prior documenting and distributing to the House boys of different floors.</t>
  </si>
  <si>
    <t>The team involved has been trained &amp; instructed to count each &amp;everything which is going out of the store. - Close</t>
  </si>
  <si>
    <t>INC_DLFCG9_TBS_586</t>
  </si>
  <si>
    <t>Few of the fresh Milk Boxes had curdled milk in it. (When the Pantry boys opened the fresh milk box the milk inside the boxes was found curdled)</t>
  </si>
  <si>
    <t>Intimated the Vendor to check the Batch and replace the milk boxes  - Close</t>
  </si>
  <si>
    <t>05-Mar-25</t>
  </si>
  <si>
    <t>INC_DLFCG9_TBS_583</t>
  </si>
  <si>
    <t>What: UPS DB B phase tripped over due to loose connection in Neutral phase</t>
  </si>
  <si>
    <t>OEM was involved to resolve the issue  - Close</t>
  </si>
  <si>
    <t>27-Feb-25</t>
  </si>
  <si>
    <t>INC_DLFBCC3_TBS_555</t>
  </si>
  <si>
    <t>Incident Description*:- HK-Boy Naresh Kumar took the wooden stand from 3rd Floor TS-Suite to 10th Floor, which was reported to the Security Team. After this, he sent the goods from Building No. 10 to Building No. 8 (7th Floor) without issuing a gate pass. On asking the HK-Boy, he told that he took the goods to another building with the permission of the supervisor.</t>
  </si>
  <si>
    <t>Vendor agency UDS has been informed through mai, to issue warning letter to the HK supervisor (Shivam) who disobey the security process. - Close</t>
  </si>
  <si>
    <t>INC_DLFCG7_TBS_554</t>
  </si>
  <si>
    <t>A critical incident occurred during peak operational hours at the client’s workplace, directly impacting business continuity and security protocols. It was observed that no security personnel were present at a time when their presence is crucial. Additionally, essential security keys, which should be under strict supervision, were either misplaced or inadequately managed.</t>
  </si>
  <si>
    <t>Security notice should be put at the reception table prior the guard moves from the reception.  - Close</t>
  </si>
  <si>
    <t>Jatin Negi</t>
  </si>
  <si>
    <t>INC_DLFTP5_TBS_553</t>
  </si>
  <si>
    <t>A-shift guards have left their posts without any reliever. Even the security supervisor had briefed them to wait till the reliever comes. As per deployment 3 guards have deployed in B shift but only 01 no was present.</t>
  </si>
  <si>
    <t>Warning letter issued to the two guards. Briefing conducted. - Close</t>
  </si>
  <si>
    <t>INC_DLFTP5_TBS_549</t>
  </si>
  <si>
    <t>Single disc for floor washer power wire is not having proper 3 pin plug.</t>
  </si>
  <si>
    <t>Installation of the 3-pin plug has been done - Close</t>
  </si>
  <si>
    <t>INC_DLFBCC10_TBS_545</t>
  </si>
  <si>
    <t>What* : Ups modular failure</t>
  </si>
  <si>
    <t>Replaced the faulty parts  - Close</t>
  </si>
  <si>
    <t>21-Feb-25</t>
  </si>
  <si>
    <t>INC_DLFBCC10_TBS_529</t>
  </si>
  <si>
    <t>Description Of Incident:- Coin has been stuck on the magnetic lock of the 4 seater room, hence the access control is not working.</t>
  </si>
  <si>
    <t>Inform the IT Team &amp; Tech team to ressolve the same issue &amp; team has rectified the same next day, Access contol is working fine now,  - Close</t>
  </si>
  <si>
    <t>17-Feb-25</t>
  </si>
  <si>
    <t>INC_DLFBCC10_TBS_500</t>
  </si>
  <si>
    <t>Description Of Incident: - The gate of the electrical room is not closing properly,</t>
  </si>
  <si>
    <t>INC_DLFCC8B_TBS_499</t>
  </si>
  <si>
    <t>Description Of Incident: - The access control of the back side &amp; Front gate of Fluence office is not working.</t>
  </si>
  <si>
    <t>Repaired the Controller  - Close</t>
  </si>
  <si>
    <t>13-Feb-25</t>
  </si>
  <si>
    <t>INC_DLF10B9_TBS_480</t>
  </si>
  <si>
    <t>During the walkaround it was found that the fire exit door located on the 9th floor was blocked by vacuum cleaner and ladder.</t>
  </si>
  <si>
    <t>Machine removed  - Close</t>
  </si>
  <si>
    <t>11-Feb-25</t>
  </si>
  <si>
    <t>INC_BPTPCC10_TBS_470</t>
  </si>
  <si>
    <t>What* : Security guards missed entry for Walkins from Duty Free Restaurant where they started up selling memberships for their outlet. How* : In terms of meeting client spoc as they know him already.</t>
  </si>
  <si>
    <t>briefing and training conducted by Abhijeet &amp; peregrine Training official. Role and responsibility Explain to the guards. Warning letter issued to the identified guards. - Close</t>
  </si>
  <si>
    <t>INC_GG5_TBS_467</t>
  </si>
  <si>
    <t>Description Of Incident: Female Staff from the DNB office (Jyotika) got stuck in the lift.</t>
  </si>
  <si>
    <t>INC_DLFCG9_TBS_465</t>
  </si>
  <si>
    <t>Internet stopped working</t>
  </si>
  <si>
    <t>Ground team has checked the UPS and switched on the MCB - Close</t>
  </si>
  <si>
    <t>10-Feb-25</t>
  </si>
  <si>
    <t>INC_DLF10B2F_TBS_457</t>
  </si>
  <si>
    <t>Rat found in the printer.</t>
  </si>
  <si>
    <t>Pest vendor alligned to find the GAP &amp; place gum pads on the area - Close</t>
  </si>
  <si>
    <t>07-Feb-25</t>
  </si>
  <si>
    <t>INC_BPTPCC15_TBS_449</t>
  </si>
  <si>
    <t>Fire extinguishers extinguish How: -yet to find as camera surveillance is not there</t>
  </si>
  <si>
    <t>DLP vendor has refill the extinguisher. - Close</t>
  </si>
  <si>
    <t>05-Feb-25</t>
  </si>
  <si>
    <t>INC_DLFBCC10_TBS_448</t>
  </si>
  <si>
    <t>Incident reported on 5-02-2025 around 10.41 am by Security Supervisor to Mr Rohit Kaul (City Lead) Area of Occurrence: BMS room, 10th Floor, HK Supervisor found sleeping inside 10th Floor BMS Room by the security team while on shift, when asked to come out of BMS, HK Supervisor start abusing the security.</t>
  </si>
  <si>
    <t>1. Discussion with Vendor partner UDS on providing warning &amp; replacement of the HK Supervisor. 2. Coaching to the HK Team regarding team behaviour. - Close</t>
  </si>
  <si>
    <t>06-Feb-25</t>
  </si>
  <si>
    <t>INC_DLFBCC10_TBS_445</t>
  </si>
  <si>
    <t>Found Security Post  Vacant in Trevista, Hitachi, Vialto, Circle K and Near IAC &amp; Centrient office at Building No. 10 during Night Surveillance Visit.</t>
  </si>
  <si>
    <t>1. Conducted brief training to all about job responsibilities and emergency response 2. Review and enforce strictly night security monitoring by security dep't. - Close</t>
  </si>
  <si>
    <t>INC_GG5_TBS_444</t>
  </si>
  <si>
    <t>Found Sleeping 01 Security Guard, Pantry and HK boy in TMS Global office area at Global Gateway in Night Shift.</t>
  </si>
  <si>
    <t>Quarterly Fire Evacuation Mock Drill | THC |  19th March 2025 - Close</t>
  </si>
  <si>
    <t>INC_DLFCG10_TBS_443</t>
  </si>
  <si>
    <t>One of the employees of team Alight Fainted</t>
  </si>
  <si>
    <t>We coordinated  with the building managememt and arranged the Ambulance to reach to the nearest hospital - Close</t>
  </si>
  <si>
    <t>INC_BPTPCC14_TBS_437</t>
  </si>
  <si>
    <t>What*: Water leakage from the indoor unit feeding to the server room due to drainage issues</t>
  </si>
  <si>
    <t>We checked the same with building team, There was blockage in the line, Same day we resolved the issue. - Close</t>
  </si>
  <si>
    <t>03-Feb-25</t>
  </si>
  <si>
    <t>INC_DLFCC10B14_TBS_426</t>
  </si>
  <si>
    <t>What: water dripping into the urinal due to the faulty sensor Where: male washroom</t>
  </si>
  <si>
    <t>INC_DLFCC10B14_TBS_422</t>
  </si>
  <si>
    <t>Door access control issue due to SNPS faulty.</t>
  </si>
  <si>
    <t>Team rectifed the problem &amp; now the access control is working fine - Close</t>
  </si>
  <si>
    <t>INC_DLFCG8_TBS_421</t>
  </si>
  <si>
    <t>Fire alarm got activated</t>
  </si>
  <si>
    <t>Panel has been reset - Close</t>
  </si>
  <si>
    <t>31-Jan-25</t>
  </si>
  <si>
    <t>INC_DLFBCC10_TBS_409</t>
  </si>
  <si>
    <t>Fire exit door way found blocked.</t>
  </si>
  <si>
    <t>Clear the Fire exit gate from the materials  - Close</t>
  </si>
  <si>
    <t>INC_DLFBCC10_TBS_408</t>
  </si>
  <si>
    <t>Description Of Incident:- During the meeting of Hitachi employees at the board room of the 10th floor a female employee felt dizzy and fainted.</t>
  </si>
  <si>
    <t>Medical staff attended the employee, employee was fine after sometime - Close</t>
  </si>
  <si>
    <t>30-Jan-25</t>
  </si>
  <si>
    <t>INC_TH10_TBS_402</t>
  </si>
  <si>
    <t>Bar code asset scan found clubbed in single sheet. Previously it was reported by guards that technical team conducts the scan of the FHR with keeping list of all assets barcode in hand.</t>
  </si>
  <si>
    <t>Wifi credentials has been shared on tablets - Close</t>
  </si>
  <si>
    <t>27-Jan-25</t>
  </si>
  <si>
    <t>INC_TH10_TBS_382</t>
  </si>
  <si>
    <t>This morning, when the HK supervisor placed a 20-liter water bottle in the dispenser, there was a smell coming from the water. The smell was coming from 5-6 bottles, so the HK supervisor removed all the bottles that had the smell and replaced them with a fresh one.</t>
  </si>
  <si>
    <t>Water Testing report has been shared with the client. - Close</t>
  </si>
  <si>
    <t>INC_BPTPCC9_TBS_377</t>
  </si>
  <si>
    <t>*What* : Smoke detector activated • *Where*: 9th floor pantry store *• *How* : Smoke detector activated due to dust</t>
  </si>
  <si>
    <t>Alarm acknowledge by the inhouse team and team has checked silenced the FAS panel, then team has visited the location where the smoke detector was activated after that clean the smoke detector and reset the FAS panel same has been informed to the internal management as well also Announcement has been done as per TS statndard speech  - Close</t>
  </si>
  <si>
    <t>26-Jan-25</t>
  </si>
  <si>
    <t>INC_DLF10B9_TBS_375</t>
  </si>
  <si>
    <t>Description Of Incident: showing the error in emergency light UPS.</t>
  </si>
  <si>
    <t>Data Coordinator Hyd</t>
  </si>
  <si>
    <t>25-Jan-25</t>
  </si>
  <si>
    <t>INC_DLFBCC10_TBS_374</t>
  </si>
  <si>
    <t>How: Team cleaned the vacuum machine net in the area which causes dust and hence fire alarm got activated</t>
  </si>
  <si>
    <t>Training provided to the team on proper cleaning of equipments handling - Close</t>
  </si>
  <si>
    <t>24-Jan-25</t>
  </si>
  <si>
    <t>INC_DLFBCC3_TBS_371</t>
  </si>
  <si>
    <t>During shifting of IT assets (150 inchs) TV) for cleaning purposes, 4 cartoons of milk(104 lts) were found which was expired as it was kept behind the big screens and other IT material. Several communications were sent to IT Team to remove the IT assets but due to non availability of IT store in NCR the items kept in this store.</t>
  </si>
  <si>
    <t>The milk cartoons kept in separate location (mothers room) on the same floor so that cannot be mixed and used by even mistake Checking with security team to find the batch details and date of delivery of this batch at site - Close</t>
  </si>
  <si>
    <t>INC_DLFCG7_TBS_362</t>
  </si>
  <si>
    <t>Description Of Incident: Coffee machine stopped dispensing the coffee due to the air pressure reduction.</t>
  </si>
  <si>
    <t>Called the OEM to rectify the issue immediately  - Close</t>
  </si>
  <si>
    <t>22-Jan-25</t>
  </si>
  <si>
    <t>INC_DLFCG7_TBS_358</t>
  </si>
  <si>
    <t>What: During a night surveillance visit conducted by Abhay Singh (HSE Lead NCR) and Akshay Singh (Manager Tech), it was observed that the both main entry doors to the 7th floor (PWC) were locked with a key. When the visitors tried to gain access, they found no one available to assist. Subsequently, they called the 9th-floor security guard, Mr. Shankar, for assistance. Mr. Shankar, in turn, contacted the 7th-floor security guard, Mr. Ankit, who was found inside the office premises. Mr. Ankit then opened the main doors with the key.  Observation: - The locked doors delayed access and raised concerns about emergency preparedness and response. - Lack of immediate availability of the security guard at the entry point could pose risks in case of emergencies.</t>
  </si>
  <si>
    <t>1. Conducted brief training to Ensure security guards are stationed at their designated posts during all shifts. 2. Conduct a briefing with security personnel regarding access protocols, locking and emergency response. 3. Review and enforce night security monitoring. - Close</t>
  </si>
  <si>
    <t>16-Jan-25</t>
  </si>
  <si>
    <t>INC_BPTPCC10_TBS_357</t>
  </si>
  <si>
    <t>What*:- CCD machine display found broken. • *Where*: 10floor core 2 pantry</t>
  </si>
  <si>
    <t>Vendor has replaced the machine - Close</t>
  </si>
  <si>
    <t>INC_TH10_TBS_349</t>
  </si>
  <si>
    <t>What: The magnetic lock of the main entrance door is not working How: - Access control gate magnetic lock of True caller- client's is nonfunctional.</t>
  </si>
  <si>
    <t>IMMEDIATELY CONTACT IT TEAM FOR RECTIFICATION - Close</t>
  </si>
  <si>
    <t>17-Jan-25</t>
  </si>
  <si>
    <t>INC_DLFCC5_TBS_331</t>
  </si>
  <si>
    <t>DLF Cyber City 5A, 19th floor</t>
  </si>
  <si>
    <t>What* : Netapp House Lady fell sick (Cold and Fever)</t>
  </si>
  <si>
    <t>employee was sent home with a family member  - Close</t>
  </si>
  <si>
    <t>INC_DLFBCC10_TBS_330</t>
  </si>
  <si>
    <t>What:- H/K lady Haseena and other staff from housekeeping team caught taking away duster from site in their personal bag after their shift was over.  How:- This act came to light during baggage checking by security lady guard.</t>
  </si>
  <si>
    <t>The team innvoled has been issue warning letters. - Close</t>
  </si>
  <si>
    <t>INC_DLF10B2F_TBS_326</t>
  </si>
  <si>
    <t>What*:- MCP pulled by the deployed guard as he forgot the access card in the reception area. *How*:- The security guard forgot the access card in the vialto reception and got locked outside. As only one access card is provided to the deployed security and there was no one in the office area working in late hours the guard pulled MCP to gain access. The alarm was raised and the matter was escalated to the client by their own central team</t>
  </si>
  <si>
    <t>Replaced the EDR glass  - Close</t>
  </si>
  <si>
    <t>INC_BPTPCC10_TBS_323</t>
  </si>
  <si>
    <t>CCD machine display found broken.</t>
  </si>
  <si>
    <t>Machine has been replaced,  - Close</t>
  </si>
  <si>
    <t>15-Jan-25</t>
  </si>
  <si>
    <t>INC_TH10_TBS_318</t>
  </si>
  <si>
    <t>Visitor management system was not working due to non-availability of the password and site link.</t>
  </si>
  <si>
    <t>Brefing &amp; training of the VMS compleated - Close</t>
  </si>
  <si>
    <t>INC_TH10_TBS_317</t>
  </si>
  <si>
    <t>The florescent electric exit signage installed in the lobby area is non-functional.</t>
  </si>
  <si>
    <t>Replaced and repaired - Close</t>
  </si>
  <si>
    <t>13-Jan-25</t>
  </si>
  <si>
    <t>INC_DLFCC8B_TBS_310</t>
  </si>
  <si>
    <t>What: Clean agent dial gauge pressure is in red in dicating pressure imbalance. How: Unknown</t>
  </si>
  <si>
    <t>11-Jan-25</t>
  </si>
  <si>
    <t>INC_DLFCC10B14_TBS_301</t>
  </si>
  <si>
    <t>Fire alarm activated</t>
  </si>
  <si>
    <t>Attended the complaint  - Close</t>
  </si>
  <si>
    <t>09-Jan-25</t>
  </si>
  <si>
    <t>INC_DLFBCC10_TBS_294</t>
  </si>
  <si>
    <t>What: Fire alarm activated How: The smoke detector places inside dishwashing area got activated due to stream.</t>
  </si>
  <si>
    <t>06-Jan-25</t>
  </si>
  <si>
    <t>INC_DLFBCC10_TBS_281</t>
  </si>
  <si>
    <t>What: _Fire Alam Activated Where: Server Room</t>
  </si>
  <si>
    <t>04-Jan-25</t>
  </si>
  <si>
    <t>INC_DLFCG7_TBS_278</t>
  </si>
  <si>
    <t>What: Disruption to the connection and causing network outage while closing open server rack door. How: During project vendor (knight Frank) visit for checking the WLD system in the server room, where he had closed the nearby open server rack door to access WLD System as due to space constraints</t>
  </si>
  <si>
    <t>All vendors are restricted to enter in any of the server rooms - Close</t>
  </si>
  <si>
    <t>03-Jan-25</t>
  </si>
  <si>
    <t>INC_DLF10B2F_TBS_276</t>
  </si>
  <si>
    <t>What: IT Material kept in BMS Room. How: During round By Mr. Dushyant sing lead security hazardous material was identified in the BMS Room.</t>
  </si>
  <si>
    <t>IT assets are moved from BMS room - Close</t>
  </si>
  <si>
    <t>INC_DLFBCC3_TBS_273</t>
  </si>
  <si>
    <t>Main entry access control door is non-functional.</t>
  </si>
  <si>
    <t>The TS access cards were not procurred during transition &amp; now IT dont have any budget to procure the same &amp; provide to client, hence to main door access control is disable but security guard is place in front of the gate 24*7  - Close</t>
  </si>
  <si>
    <t>INC_DLFBCC10_TBS_272</t>
  </si>
  <si>
    <t>What: The main entrance door magnetic lock is non-functional.</t>
  </si>
  <si>
    <t>28-Dec-24</t>
  </si>
  <si>
    <t>INC_DLFCG8_TBS_264</t>
  </si>
  <si>
    <t>What: Fire alarm activated Where: 8th floor Wood Mackenzie (Centurion cabin SD  NO. 14 How: Smoke detector activated due to dust accumulation.</t>
  </si>
  <si>
    <t>Breeifed  the relevant team members to avoid such situations - Close</t>
  </si>
  <si>
    <t>26-Dec-24</t>
  </si>
  <si>
    <t>INC_TH10_TBS_257</t>
  </si>
  <si>
    <t>There are cracks and breaks in the tiles near the reception area and the washroom passage area while taking the rounds.</t>
  </si>
  <si>
    <t>Replacement of the tiles has been done. - Close</t>
  </si>
  <si>
    <t>24-Dec-24</t>
  </si>
  <si>
    <t>INC_DLFBCC3_TBS_252</t>
  </si>
  <si>
    <t>What A Housekeeping boy misbehaved with female pantry staff while she was working in dish wash area Where: At 3rd floor in dish wash area</t>
  </si>
  <si>
    <t>The HK boy was ask to leave the premises and agency was also informed. - Close</t>
  </si>
  <si>
    <t>INC_DLFCC8B_TBS_251</t>
  </si>
  <si>
    <t>What: Coin found attached on the magnetic lock at the main entrance door. How:To provide free access and hassle free to and fro movement mischievously some one tapped the magnetic lock with coin.</t>
  </si>
  <si>
    <t>INC_DLFCG8_TBS_250</t>
  </si>
  <si>
    <t>What:- During DLF fire drill public information W.R.T evacuation from DLF did not reach due to the malfunction of the PA System. How :-  Building PA system malfunctioned.</t>
  </si>
  <si>
    <t>PA system checked and working fine - Close</t>
  </si>
  <si>
    <t>22-Dec-24</t>
  </si>
  <si>
    <t>INC_BPTPCC14_TBS_245</t>
  </si>
  <si>
    <t>What: PCB card faulty of indoor unit Where: 14th floor ups room How: Thermostats not working due to PCB card faulty</t>
  </si>
  <si>
    <t>Vendor visited the site and confirmed the PCB card is faulty after inspecting the indoor unit. - Close</t>
  </si>
  <si>
    <t>21-Dec-24</t>
  </si>
  <si>
    <t>INC_DLFCG9_TBS_241</t>
  </si>
  <si>
    <t>What: issue in Split AC Where: Ups room How: blower issue in the indoor Unit.</t>
  </si>
  <si>
    <t>Blower for split ac replaced - Close</t>
  </si>
  <si>
    <t>19-Dec-24</t>
  </si>
  <si>
    <t>INC_DLF10B9_TBS_234</t>
  </si>
  <si>
    <t>Incident Type:- False alarm *How*:- Reason Unknown</t>
  </si>
  <si>
    <t>Attended the Complaint  - Close</t>
  </si>
  <si>
    <t>INC_DLFCG9_TBS_233</t>
  </si>
  <si>
    <t>What* :- Smoke detector activated and alarm raised in Brillio office. • *How :- Technical fault. Reason unknown.</t>
  </si>
  <si>
    <t>Smoke detector cleaned and panel reset done - Close</t>
  </si>
  <si>
    <t>INC_DLF10B9_TBS_225</t>
  </si>
  <si>
    <t>Incident Type:- Non functional access card reader. *How*:- Reason Unknown</t>
  </si>
  <si>
    <t>A request has been made to the maintenance team for rectification. - Close</t>
  </si>
  <si>
    <t>18-Dec-24</t>
  </si>
  <si>
    <t>INC_DLF10B9_TBS_224</t>
  </si>
  <si>
    <t>Incident Type:- EDR Glass found broken at reception area door. *How*:- Reason Unknown</t>
  </si>
  <si>
    <t>attended the complaint  - Close</t>
  </si>
  <si>
    <t>INC_DLF10B9_TBS_223</t>
  </si>
  <si>
    <t>A dust issue has been identified originating from the gent's toilet shaft door located on the north side of the building.  we have informed the building team to find out the route cause and monitoring the same. we have cleaned the dust and now dust has stop to coming. No injury happens in this incident.</t>
  </si>
  <si>
    <t>we have informed the building team to find out the route cause and monitoring the same. we have cleaned the dust and now dust has stop to coming. - Close</t>
  </si>
  <si>
    <t>Vishal Kadav</t>
  </si>
  <si>
    <t>INC_DLFCC10B14_TBS_221</t>
  </si>
  <si>
    <t>What: The main entrance door magnetic lock is non-functional. How: Reason Unknown</t>
  </si>
  <si>
    <t>Coordinated with Vendor  - Close</t>
  </si>
  <si>
    <t>17-Dec-24</t>
  </si>
  <si>
    <t>INC_DLFCG9_TBS_218</t>
  </si>
  <si>
    <t>What*:- Access ID card of ex-employee/ vendor Miss Dipika Gupta of building no 10 is being utilized by MST for gaining access at cyber greens. Cyber Green's All shift MST has been using the ex-employee/ vendor access card for many days. The access card having ID belonged to Miss Dipika Gupta who worked as a receptionist in building no 10, Miss Deepika Gupta resigned from the table space on 7th July 2024, How:- When Miss Dipika Gupta resigned from the JLL the card was provided by the IT department for temporary access to MST due to lack of access card.</t>
  </si>
  <si>
    <t>Informed the IT team to rebadge the access card - Close</t>
  </si>
  <si>
    <t>INC_TH10_TBS_214</t>
  </si>
  <si>
    <t>What:- BMS room access door left unlocked. How:- Door alignment required for closure.</t>
  </si>
  <si>
    <t>Repaired by in-house team - Close</t>
  </si>
  <si>
    <t>13-Dec-24</t>
  </si>
  <si>
    <t>INC_DLFBCC10_TBS_207</t>
  </si>
  <si>
    <t>What: - Sr. Management member tablespace visitor's arrival was not informed How*:- New untrained lady guard was deployed. VMS set up was present however the password was not present with security so manual update in registers was conducted. Visitor waited at the reception and the senior management was not informed about the arrival as  the contact no of Senior management is not shared with security staff for privacy reasons. Effect: - Due to VMS not working, the Senior Management was not informed about the visitor. Process deviation</t>
  </si>
  <si>
    <t>Initiated mail to the IT team on 13 Dec 24. Activation and password generation of the VMS setup. VMS activated and training to both supervisor and lady guard conducted for the VMS process. - Close</t>
  </si>
  <si>
    <t>04-Dec-24</t>
  </si>
  <si>
    <t>INC_DLFCC8B_TBS_198</t>
  </si>
  <si>
    <t>What: Wire theft. Night guard captured in Cctv cutting and stealing the wire from site.</t>
  </si>
  <si>
    <t>1) Informed to peregrine team Mr. Anish for further investigation. 2) Removal from duty effective immediately, Replacement of guard for deployment (Business continuity) - In progress 3) Recovery of material/ cost - Close</t>
  </si>
  <si>
    <t>INC_DLFCC10BC_TBS_190</t>
  </si>
  <si>
    <t>What: Mr. Alok Tablespace employee mistakenly fiddled with the MCP and triggered the alarm. How: Employee was curious about the functionality of MCP.</t>
  </si>
  <si>
    <t>1) Mr. Abhay quickly silenced the alarm after knowing it was done by an employee. 2)All Tablespace employees, security and management staff informed about the false alarm. 3) Mr. Alok is warned by Security lead - Dushyant about the system and not to fiddle in the future. 4) Training of Mr. Alok on fire security to be conducted. - Close</t>
  </si>
  <si>
    <t>INC_DLFCG8_TBS_189</t>
  </si>
  <si>
    <t>What : Water Dripping from the 9th floor Where: 8th floor</t>
  </si>
  <si>
    <t>Informed the Projects team to check the Root cause and rectify the issue  - Close</t>
  </si>
  <si>
    <t>11-Dec-24</t>
  </si>
  <si>
    <t>INC_TH9_TBS_183</t>
  </si>
  <si>
    <t>Description: Mr. Mantu intentionally sabotage the client access control system from client server room for 10 min due to amid salary issues from his employer.</t>
  </si>
  <si>
    <t>Investigation report shared with client &amp; TS team. Identified personnel (Mr. Sonu)removed from site and NO entry implemented. - Close</t>
  </si>
  <si>
    <t>10-Dec-24</t>
  </si>
  <si>
    <t>INC_DLFCG9_TBS_170</t>
  </si>
  <si>
    <t>Details:- Innovation vendor had fight at the 9 floor PWC project area. Brawl within labour observed by Lead security Mr. Dushyant &amp; HSE lead - Mr Abhay Tablespace. Labour involved were removed from the site by Mr. Anuj. The security team was not involved in the investigation and Mr. Anuj (project) took call independently.</t>
  </si>
  <si>
    <t>Informed the Project Manager and removal of associated team members  - Close</t>
  </si>
  <si>
    <t>INC_DLFCG6_TBS_165</t>
  </si>
  <si>
    <t>What : Wi-Fi not working Where: 6th floor</t>
  </si>
  <si>
    <t>Informed the IT team immediately to check and resolve the issue   - Close</t>
  </si>
  <si>
    <t>07-Dec-24</t>
  </si>
  <si>
    <t>INC_DLFBCC10_TBS_157</t>
  </si>
  <si>
    <t>What:- Recording conversation without consent of Tablespace employees by security supervisor via phone. • How:- Security supervisor Mr. Yashveer without consent recorded the conversation of Tablespace and himself violating the privacy and information security norms.</t>
  </si>
  <si>
    <t>Incident highlighted to MD North, South and GM of Peregrine. TS lead security- asked Peregrine for removal of Supervisor from site after interview of new candidate. I. E planned due to business continuity. - Close</t>
  </si>
  <si>
    <t>02-Dec-24</t>
  </si>
  <si>
    <t>INC_DLFBCC10_TBS_113</t>
  </si>
  <si>
    <t>What : Sr. management staff came to the office at 0630hrs in the morning and couldn't find any security guard at the 10th IAC lift lobby post. As Sr. Management staff was not carrying an access card with him for the TS Office so H.K Supervisor Balam gave him access to TS office.</t>
  </si>
  <si>
    <t>The night supervisor preliminary investigated the matter and met Sr. Management and explained the problem/ issue. - Close</t>
  </si>
  <si>
    <t>28-Nov-24</t>
  </si>
  <si>
    <t>INC_DLFBCC3_TBS_93</t>
  </si>
  <si>
    <t>What: One of ETS employee fell down in lady's washroom.</t>
  </si>
  <si>
    <t>Employee taken to medical room on 10th floor to rest - Close</t>
  </si>
  <si>
    <t>25-Nov-24</t>
  </si>
  <si>
    <t>INC_DLFBCC10_TBS_83</t>
  </si>
  <si>
    <t>Pest Issue How:Lack of Good pest control</t>
  </si>
  <si>
    <t>In-house team clean the milk container and replace with new refill, escalated to pest vendor and ask details - Close</t>
  </si>
  <si>
    <t>22-Nov-24</t>
  </si>
  <si>
    <t>INC_DLFBCC10_TBS_77</t>
  </si>
  <si>
    <t>Female Employee slip due to WC Flab was out of hinges</t>
  </si>
  <si>
    <t>Site tech team informed, working on it for the rectification - Close</t>
  </si>
  <si>
    <t>20-Nov-24</t>
  </si>
  <si>
    <t>INC_DLFCC8B_TBS_70</t>
  </si>
  <si>
    <t>Incident details* Project Innovation Vendor Supervisor name Bablu was taking the material, when security objected then he misbehaved with security and he was with 05 employees of the vendor, all of them were threatening security staff and also threatened to throw security out of premisis. Informed to Lead security- Tablespace and project Manager for action.</t>
  </si>
  <si>
    <t>Informed to Security lead Ncr and Mr Ubaid (projects). Evaluation of any chaos accountes. Vendor supervisor removed from the operations area. Informed the Project head TS via mail for adherence of protocol. - Close</t>
  </si>
  <si>
    <t>19-Nov-24</t>
  </si>
  <si>
    <t>INC_DLFCG9_TBS_62</t>
  </si>
  <si>
    <t>What: Smoke detector activated Where: 9th floor corridor How: Smoke detector activated due to dusty work done by Projects team.</t>
  </si>
  <si>
    <t>Panel was reset and error was removed from loop  - Close</t>
  </si>
  <si>
    <t>13-Nov-24</t>
  </si>
  <si>
    <t>INC_DLFBCC10_TBS_61</t>
  </si>
  <si>
    <t>What: high Temperature issue Where: inside the critical room How: issue in split AC.</t>
  </si>
  <si>
    <t>Informed to builder  - Close</t>
  </si>
  <si>
    <t>18-Nov-24</t>
  </si>
  <si>
    <t>INC_BPTPCC9_TBS_56</t>
  </si>
  <si>
    <t>Smoke detector activated</t>
  </si>
  <si>
    <t>Alarm acknowledges by inhouse team • Team checked and silenced the FAS panel • Visited the location of activation cleaned the smoke detector, and reset the FAS panel • Informed the internal management about the incident • Announcement has been done as per standard speech • House keeping staff instructed to use proper method (e.g., wet cleaning) in sensitive areas to avoid dust dispersion near smoke detectors - Close</t>
  </si>
  <si>
    <t>17-Nov-24</t>
  </si>
  <si>
    <t>INC_DLFBCC10_TBS_52</t>
  </si>
  <si>
    <t>What: showing the error in the module. Where: Ups room How: Reason unknown</t>
  </si>
  <si>
    <t>Informed to OEM - Close</t>
  </si>
  <si>
    <t>16-Nov-24</t>
  </si>
  <si>
    <t>INC_BPTPCC14_TBS_50</t>
  </si>
  <si>
    <t>What: Pantry &amp; HK staff were having lunch in janitor room which was locked from inside. Where: 14th floor janitor room near washrooms. How: During walkthrough site team observed that blue collar staff were having lunch inside janitor room where it was locked from inside.</t>
  </si>
  <si>
    <t>Staff briefing has been done - Close</t>
  </si>
  <si>
    <t>INC_BPTPCC15_TBS_49</t>
  </si>
  <si>
    <t>What :Hose reel drum  rectification work in FHC by the builder team Where: 15th floor C-2 near washroom passage area How : During walkthrough site team observed on building team working on FHC without any prior information / Workpermit authorization.</t>
  </si>
  <si>
    <t>Building team will show the work permit before start work - Close</t>
  </si>
  <si>
    <t>14-Nov-24</t>
  </si>
  <si>
    <t>INC_DLFBCC3_TBS_40</t>
  </si>
  <si>
    <t>What: Flammable material found inside electric shaft. Where: Electric shaft near washroom. How : HK staff kept garbage bag inside electrical shaft. Wrong practice and HK procedure</t>
  </si>
  <si>
    <t>Informed to TS suite Manager Mr. Amit. Garbage bag to be removed from electrical shaft to avoid any fire incidents. Briefing to be provided to HK staffs and supervisor. Security on duty to take round of the premises and check for abnormality. Informed to HSE Delhi for corrective and preventive action - Close</t>
  </si>
  <si>
    <t>INC_BPTPCC14_TBS_39</t>
  </si>
  <si>
    <t>What: MCP pulled by HK boy Where: 14th floor C-2 in front of dishwasher area How: MCP pulled by HK boy mistakenly</t>
  </si>
  <si>
    <t>Team has visited the location and silenced the FAS Panel and reset the MCP along with reset the FAS panel also same has been briefed to hk team and HK sup - Close</t>
  </si>
  <si>
    <t>INC_DLF10B5_TBS_38</t>
  </si>
  <si>
    <t>Where: 5th floor inside ups room How Due to power fluctuations.</t>
  </si>
  <si>
    <t>informed to OEM  - Close</t>
  </si>
  <si>
    <t>INC_BPTPCC10_TBS_34</t>
  </si>
  <si>
    <t>What: Smoke detector activated, how: Smoke detector activated due to dust</t>
  </si>
  <si>
    <t>Alarm acknowledge by the inhouse team and team has checked silenced the FAS panel, then team has visited the location where the smoke detector was activated after that clean the smoke detector and reset the FAS panel same has been informed to the internal management as well also Announcement has been done as per TS statndard speech.- - Close</t>
  </si>
  <si>
    <t>11-Nov-24</t>
  </si>
  <si>
    <t>INC_DLFCG6_TBS_24</t>
  </si>
  <si>
    <t>AHU not working optimally and temp is quite high</t>
  </si>
  <si>
    <t>OEM was informed to rectify the issue  - Close</t>
  </si>
  <si>
    <t>08-Nov-24</t>
  </si>
  <si>
    <t>INC_BPTPCC14_TBS_18</t>
  </si>
  <si>
    <t>What : PCB card faulty of indoor unit Where: 14th floor ups room How : Thermostats not working due to PCB card faulty</t>
  </si>
  <si>
    <t>Vendor visited the site and Faulty PCB card has been repaired within given timeline. confirmed the PCB card is faulty after inspecting the indoor unit, - Close</t>
  </si>
  <si>
    <t>INC_DLF10B9_TBS_14</t>
  </si>
  <si>
    <t>Minor Leakage From Sprinkler</t>
  </si>
</sst>
</file>

<file path=xl/styles.xml><?xml version="1.0" encoding="utf-8"?>
<styleSheet xmlns="http://schemas.openxmlformats.org/spreadsheetml/2006/main">
  <numFmts count="3">
    <numFmt numFmtId="164" formatCode="dd-mmm-yy"/>
    <numFmt numFmtId="165" formatCode="#,##0"/>
    <numFmt numFmtId="166" formatCode="dd-mmm-yy hh:mm"/>
  </numFmts>
  <fonts count="16">
    <font>
      <sz val="11"/>
      <color theme="1"/>
      <name val="Calibri"/>
      <family val="2"/>
      <scheme val="minor"/>
    </font>
    <font>
      <b/>
      <sz val="20"/>
      <color rgb="FF1E3A5F"/>
      <name val="Segoe UI"/>
      <family val="2"/>
    </font>
    <font>
      <i/>
      <sz val="11"/>
      <color rgb="FF64748B"/>
      <name val="Segoe UI"/>
      <family val="2"/>
    </font>
    <font>
      <b/>
      <sz val="10"/>
      <color rgb="FFFFFFFF"/>
      <name val="Segoe UI"/>
      <family val="2"/>
    </font>
    <font>
      <sz val="11"/>
      <color rgb="FF1E293B"/>
      <name val="Segoe UI"/>
      <family val="2"/>
    </font>
    <font>
      <i/>
      <sz val="10"/>
      <color rgb="FF475569"/>
      <name val="Segoe UI"/>
      <family val="2"/>
    </font>
    <font>
      <b/>
      <sz val="9"/>
      <color rgb="FF64748B"/>
      <name val="Segoe UI"/>
      <family val="2"/>
    </font>
    <font>
      <b/>
      <sz val="28"/>
      <color rgb="FF3B82F6"/>
      <name val="Segoe UI"/>
      <family val="2"/>
    </font>
    <font>
      <b/>
      <sz val="28"/>
      <color rgb="FFF59E0B"/>
      <name val="Segoe UI"/>
      <family val="2"/>
    </font>
    <font>
      <b/>
      <sz val="28"/>
      <color rgb="FF10B981"/>
      <name val="Segoe UI"/>
      <family val="2"/>
    </font>
    <font>
      <b/>
      <sz val="28"/>
      <color rgb="FF8B5CF6"/>
      <name val="Segoe UI"/>
      <family val="2"/>
    </font>
    <font>
      <b/>
      <sz val="28"/>
      <color rgb="FFEF4444"/>
      <name val="Segoe UI"/>
      <family val="2"/>
    </font>
    <font>
      <b/>
      <sz val="28"/>
      <color rgb="FFEC4899"/>
      <name val="Segoe UI"/>
      <family val="2"/>
    </font>
    <font>
      <b/>
      <sz val="10"/>
      <color rgb="FF1E3A5F"/>
      <name val="Segoe UI"/>
      <family val="2"/>
    </font>
    <font>
      <sz val="10"/>
      <color theme="1"/>
      <name val="Segoe UI"/>
      <family val="2"/>
    </font>
    <font>
      <sz val="10"/>
      <color rgb="FF1E293B"/>
      <name val="Segoe UI"/>
      <family val="2"/>
    </font>
  </fonts>
  <fills count="5">
    <fill>
      <patternFill patternType="none"/>
    </fill>
    <fill>
      <patternFill patternType="gray125"/>
    </fill>
    <fill>
      <patternFill patternType="solid">
        <fgColor rgb="FF1E3A5F"/>
        <bgColor indexed="64"/>
      </patternFill>
    </fill>
    <fill>
      <patternFill patternType="solid">
        <fgColor rgb="FFE2E8F0"/>
        <bgColor indexed="64"/>
      </patternFill>
    </fill>
    <fill>
      <patternFill patternType="solid">
        <fgColor rgb="FFDBEAFE"/>
        <bgColor indexed="64"/>
      </patternFill>
    </fill>
  </fills>
  <borders count="12">
    <border>
      <left/>
      <right/>
      <top/>
      <bottom/>
      <diagonal/>
    </border>
    <border>
      <left/>
      <right/>
      <top/>
      <bottom style="dashed">
        <color rgb="FF3B82F6"/>
      </bottom>
      <diagonal/>
    </border>
    <border>
      <left style="thin">
        <color rgb="FF475569"/>
      </left>
      <right style="thin">
        <color rgb="FF475569"/>
      </right>
      <top style="thin">
        <color rgb="FF475569"/>
      </top>
      <bottom style="thin">
        <color rgb="FF475569"/>
      </bottom>
      <diagonal/>
    </border>
    <border>
      <left style="thin">
        <color rgb="FF94A3B8"/>
      </left>
      <right style="thin">
        <color rgb="FF94A3B8"/>
      </right>
      <top style="thin">
        <color rgb="FF94A3B8"/>
      </top>
      <bottom style="thin">
        <color rgb="FF94A3B8"/>
      </bottom>
      <diagonal/>
    </border>
    <border>
      <left/>
      <right/>
      <top/>
      <bottom style="dashed">
        <color rgb="FFF59E0B"/>
      </bottom>
      <diagonal/>
    </border>
    <border>
      <left/>
      <right/>
      <top/>
      <bottom style="dashed">
        <color rgb="FF10B981"/>
      </bottom>
      <diagonal/>
    </border>
    <border>
      <left/>
      <right/>
      <top/>
      <bottom style="dashed">
        <color rgb="FF8B5CF6"/>
      </bottom>
      <diagonal/>
    </border>
    <border>
      <left/>
      <right/>
      <top/>
      <bottom style="dashed">
        <color rgb="FFEF4444"/>
      </bottom>
      <diagonal/>
    </border>
    <border>
      <left/>
      <right/>
      <top/>
      <bottom style="dashed">
        <color rgb="FFEC4899"/>
      </bottom>
      <diagonal/>
    </border>
    <border>
      <left style="thin">
        <color rgb="FF93C5FD"/>
      </left>
      <right style="thin">
        <color rgb="FF93C5FD"/>
      </right>
      <top style="thin">
        <color rgb="FF93C5FD"/>
      </top>
      <bottom style="thin">
        <color rgb="FF93C5FD"/>
      </bottom>
      <diagonal/>
    </border>
    <border>
      <left style="thin">
        <color rgb="FFE2E8F0"/>
      </left>
      <right style="thin">
        <color rgb="FFE2E8F0"/>
      </right>
      <top style="thin">
        <color rgb="FFE2E8F0"/>
      </top>
      <bottom style="thin">
        <color rgb="FFE2E8F0"/>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0">
    <xf numFmtId="0" fontId="0" fillId="0" borderId="0" xfId="0"/>
    <xf numFmtId="0" fontId="1" fillId="0" borderId="1" xfId="0" applyFont="1" applyBorder="1"/>
    <xf numFmtId="0" fontId="2" fillId="0" borderId="0" xfId="0" applyFont="1"/>
    <xf numFmtId="0" fontId="3" fillId="2" borderId="2" xfId="0" applyFont="1" applyFill="1" applyBorder="1" applyAlignment="1">
      <alignment horizontal="center" vertical="center" wrapText="1"/>
    </xf>
    <xf numFmtId="0" fontId="4" fillId="3" borderId="3" xfId="0" applyFont="1" applyFill="1" applyBorder="1" applyAlignment="1" applyProtection="1">
      <alignment horizontal="center" vertical="center"/>
      <protection locked="0"/>
    </xf>
    <xf numFmtId="164" fontId="4" fillId="3" borderId="3" xfId="0" applyNumberFormat="1" applyFont="1" applyFill="1" applyBorder="1" applyAlignment="1" applyProtection="1">
      <alignment horizontal="center" vertical="center"/>
      <protection locked="0"/>
    </xf>
    <xf numFmtId="0" fontId="5" fillId="0" borderId="0" xfId="0" applyFont="1" applyAlignment="1">
      <alignment wrapText="1"/>
    </xf>
    <xf numFmtId="0" fontId="6" fillId="0" borderId="0" xfId="0" applyFont="1" applyAlignment="1">
      <alignment horizontal="center" vertical="center" wrapText="1"/>
    </xf>
    <xf numFmtId="165" fontId="7" fillId="0" borderId="1" xfId="0" applyNumberFormat="1" applyFont="1" applyBorder="1" applyAlignment="1">
      <alignment horizontal="center" vertical="center"/>
    </xf>
    <xf numFmtId="165" fontId="8" fillId="0" borderId="4" xfId="0" applyNumberFormat="1" applyFont="1" applyBorder="1" applyAlignment="1">
      <alignment horizontal="center" vertical="center"/>
    </xf>
    <xf numFmtId="165" fontId="9" fillId="0" borderId="5" xfId="0" applyNumberFormat="1" applyFont="1" applyBorder="1" applyAlignment="1">
      <alignment horizontal="center" vertical="center"/>
    </xf>
    <xf numFmtId="165" fontId="10" fillId="0" borderId="6" xfId="0" applyNumberFormat="1" applyFont="1" applyBorder="1" applyAlignment="1">
      <alignment horizontal="center" vertical="center"/>
    </xf>
    <xf numFmtId="165" fontId="11" fillId="0" borderId="7" xfId="0" applyNumberFormat="1" applyFont="1" applyBorder="1" applyAlignment="1">
      <alignment horizontal="center" vertical="center"/>
    </xf>
    <xf numFmtId="165" fontId="12" fillId="0" borderId="8" xfId="0" applyNumberFormat="1" applyFont="1" applyBorder="1" applyAlignment="1">
      <alignment horizontal="center" vertical="center"/>
    </xf>
    <xf numFmtId="0" fontId="13" fillId="4" borderId="9" xfId="0" applyFont="1" applyFill="1" applyBorder="1" applyAlignment="1">
      <alignment horizontal="center"/>
    </xf>
    <xf numFmtId="0" fontId="14" fillId="0" borderId="10" xfId="0" applyFont="1" applyBorder="1"/>
    <xf numFmtId="165" fontId="14" fillId="0" borderId="10" xfId="0" applyNumberFormat="1" applyFont="1" applyBorder="1" applyAlignment="1">
      <alignment horizontal="center"/>
    </xf>
    <xf numFmtId="0" fontId="15" fillId="0" borderId="11" xfId="0" applyFont="1" applyBorder="1" applyAlignment="1">
      <alignment vertical="center" wrapText="1"/>
    </xf>
    <xf numFmtId="165" fontId="15" fillId="0" borderId="11" xfId="0" applyNumberFormat="1" applyFont="1" applyBorder="1" applyAlignment="1">
      <alignment horizontal="center" vertical="center"/>
    </xf>
    <xf numFmtId="166" fontId="15" fillId="0" borderId="11"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42"/>
  <c:chart>
    <c:title>
      <c:tx>
        <c:rich>
          <a:bodyPr/>
          <a:lstStyle/>
          <a:p>
            <a:pPr>
              <a:defRPr/>
            </a:pPr>
            <a:r>
              <a:rPr lang="en-US"/>
              <a:t>📊 Incidents by Category</a:t>
            </a:r>
          </a:p>
        </c:rich>
      </c:tx>
      <c:layout/>
    </c:title>
    <c:plotArea>
      <c:layout/>
      <c:barChart>
        <c:barDir val="col"/>
        <c:grouping val="clustered"/>
        <c:ser>
          <c:idx val="0"/>
          <c:order val="0"/>
          <c:tx>
            <c:v>Incidents</c:v>
          </c:tx>
          <c:spPr>
            <a:solidFill>
              <a:srgbClr val="3B82F6"/>
            </a:solidFill>
            <a:ln>
              <a:solidFill>
                <a:srgbClr val="2563EB"/>
              </a:solidFill>
            </a:ln>
          </c:spPr>
          <c:cat>
            <c:strRef>
              <c:f>'Dashboard Formula (Reference)'!$D$2:$D$7</c:f>
              <c:strCache>
                <c:ptCount val="6"/>
                <c:pt idx="0">
                  <c:v>Engineering &amp; Building Services</c:v>
                </c:pt>
                <c:pt idx="1">
                  <c:v>Security</c:v>
                </c:pt>
                <c:pt idx="2">
                  <c:v>Operations</c:v>
                </c:pt>
                <c:pt idx="3">
                  <c:v>Health &amp; Safety</c:v>
                </c:pt>
                <c:pt idx="4">
                  <c:v>Others</c:v>
                </c:pt>
                <c:pt idx="5">
                  <c:v>Traffic &amp; Transport</c:v>
                </c:pt>
              </c:strCache>
            </c:strRef>
          </c:cat>
          <c:val>
            <c:numRef>
              <c:f>'Dashboard Formula (Reference)'!$E$2:$E$7</c:f>
              <c:numCache>
                <c:formatCode>General</c:formatCode>
                <c:ptCount val="6"/>
                <c:pt idx="0">
                  <c:v>218</c:v>
                </c:pt>
                <c:pt idx="1">
                  <c:v>61</c:v>
                </c:pt>
                <c:pt idx="2">
                  <c:v>28</c:v>
                </c:pt>
                <c:pt idx="3">
                  <c:v>25</c:v>
                </c:pt>
                <c:pt idx="4">
                  <c:v>21</c:v>
                </c:pt>
                <c:pt idx="5">
                  <c:v>2</c:v>
                </c:pt>
              </c:numCache>
            </c:numRef>
          </c:val>
        </c:ser>
        <c:gapWidth val="100"/>
        <c:axId val="50010001"/>
        <c:axId val="50010002"/>
      </c:barChart>
      <c:catAx>
        <c:axId val="50010001"/>
        <c:scaling>
          <c:orientation val="minMax"/>
        </c:scaling>
        <c:axPos val="b"/>
        <c:title>
          <c:tx>
            <c:rich>
              <a:bodyPr/>
              <a:lstStyle/>
              <a:p>
                <a:pPr>
                  <a:defRPr/>
                </a:pPr>
                <a:r>
                  <a:rPr lang="en-US"/>
                  <a:t>Category</a:t>
                </a:r>
              </a:p>
            </c:rich>
          </c:tx>
          <c:layout/>
        </c:title>
        <c:tickLblPos val="low"/>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42"/>
  <c:chart>
    <c:title>
      <c:tx>
        <c:rich>
          <a:bodyPr/>
          <a:lstStyle/>
          <a:p>
            <a:pPr>
              <a:defRPr/>
            </a:pPr>
            <a:r>
              <a:rPr lang="en-US"/>
              <a:t>📈 Incidents by Month</a:t>
            </a:r>
          </a:p>
        </c:rich>
      </c:tx>
      <c:layout/>
    </c:title>
    <c:plotArea>
      <c:layout/>
      <c:barChart>
        <c:barDir val="col"/>
        <c:grouping val="clustered"/>
        <c:ser>
          <c:idx val="0"/>
          <c:order val="0"/>
          <c:tx>
            <c:v>Incidents</c:v>
          </c:tx>
          <c:spPr>
            <a:solidFill>
              <a:srgbClr val="8B5CF6"/>
            </a:solidFill>
            <a:ln>
              <a:solidFill>
                <a:srgbClr val="7C3AED"/>
              </a:solidFill>
            </a:ln>
          </c:spPr>
          <c:cat>
            <c:strRef>
              <c:f>'Dashboard Formula (Reference)'!$G$2:$G$18</c:f>
              <c:strCache>
                <c:ptCount val="17"/>
                <c:pt idx="0">
                  <c:v>Nov'24</c:v>
                </c:pt>
                <c:pt idx="1">
                  <c:v>Dec'24</c:v>
                </c:pt>
                <c:pt idx="2">
                  <c:v>Jan'25</c:v>
                </c:pt>
                <c:pt idx="3">
                  <c:v>Feb'25</c:v>
                </c:pt>
                <c:pt idx="4">
                  <c:v>Mar'25</c:v>
                </c:pt>
                <c:pt idx="5">
                  <c:v>Apr'25</c:v>
                </c:pt>
                <c:pt idx="6">
                  <c:v>May'25</c:v>
                </c:pt>
                <c:pt idx="7">
                  <c:v>Jun'25</c:v>
                </c:pt>
                <c:pt idx="8">
                  <c:v>Facility</c:v>
                </c:pt>
                <c:pt idx="9">
                  <c:v>DLF 10 B&amp;C</c:v>
                </c:pt>
                <c:pt idx="10">
                  <c:v>Capital City BPTP</c:v>
                </c:pt>
                <c:pt idx="11">
                  <c:v>Cyber Green</c:v>
                </c:pt>
                <c:pt idx="12">
                  <c:v>DLF Tech Park</c:v>
                </c:pt>
                <c:pt idx="13">
                  <c:v>DLF Downtown - Gurgaon</c:v>
                </c:pt>
                <c:pt idx="14">
                  <c:v>Two Horizon</c:v>
                </c:pt>
                <c:pt idx="15">
                  <c:v>DLF 8</c:v>
                </c:pt>
                <c:pt idx="16">
                  <c:v>DLF 6</c:v>
                </c:pt>
              </c:strCache>
            </c:strRef>
          </c:cat>
          <c:val>
            <c:numRef>
              <c:f>'Dashboard Formula (Reference)'!$H$2:$H$18</c:f>
              <c:numCache>
                <c:formatCode>General</c:formatCode>
                <c:ptCount val="17"/>
                <c:pt idx="0">
                  <c:v>17</c:v>
                </c:pt>
                <c:pt idx="1">
                  <c:v>24</c:v>
                </c:pt>
                <c:pt idx="2">
                  <c:v>26</c:v>
                </c:pt>
                <c:pt idx="3">
                  <c:v>24</c:v>
                </c:pt>
                <c:pt idx="4">
                  <c:v>16</c:v>
                </c:pt>
                <c:pt idx="5">
                  <c:v>19</c:v>
                </c:pt>
                <c:pt idx="6">
                  <c:v>13</c:v>
                </c:pt>
                <c:pt idx="7">
                  <c:v>12</c:v>
                </c:pt>
                <c:pt idx="8">
                  <c:v>0</c:v>
                </c:pt>
                <c:pt idx="9">
                  <c:v>120</c:v>
                </c:pt>
                <c:pt idx="10">
                  <c:v>89</c:v>
                </c:pt>
                <c:pt idx="11">
                  <c:v>53</c:v>
                </c:pt>
                <c:pt idx="12">
                  <c:v>29</c:v>
                </c:pt>
                <c:pt idx="13">
                  <c:v>21</c:v>
                </c:pt>
                <c:pt idx="14">
                  <c:v>17</c:v>
                </c:pt>
                <c:pt idx="15">
                  <c:v>14</c:v>
                </c:pt>
                <c:pt idx="16">
                  <c:v>7</c:v>
                </c:pt>
              </c:numCache>
            </c:numRef>
          </c:val>
        </c:ser>
        <c:gapWidth val="80"/>
        <c:axId val="50020001"/>
        <c:axId val="50020002"/>
      </c:barChart>
      <c:catAx>
        <c:axId val="50020001"/>
        <c:scaling>
          <c:orientation val="minMax"/>
        </c:scaling>
        <c:axPos val="b"/>
        <c:title>
          <c:tx>
            <c:rich>
              <a:bodyPr/>
              <a:lstStyle/>
              <a:p>
                <a:pPr>
                  <a:defRPr/>
                </a:pPr>
                <a:r>
                  <a:rPr lang="en-US"/>
                  <a:t>Month</a:t>
                </a:r>
              </a:p>
            </c:rich>
          </c:tx>
          <c:layout/>
        </c:title>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 Status Distribution</a:t>
            </a:r>
          </a:p>
        </c:rich>
      </c:tx>
      <c:layout/>
    </c:title>
    <c:plotArea>
      <c:layout/>
      <c:pieChart>
        <c:varyColors val="1"/>
        <c:ser>
          <c:idx val="0"/>
          <c:order val="0"/>
          <c:tx>
            <c:v>Status</c:v>
          </c:tx>
          <c:dPt>
            <c:idx val="0"/>
            <c:spPr>
              <a:solidFill>
                <a:srgbClr val="F59E0B"/>
              </a:solidFill>
            </c:spPr>
          </c:dPt>
          <c:dPt>
            <c:idx val="1"/>
            <c:spPr>
              <a:solidFill>
                <a:srgbClr val="8B5CF6"/>
              </a:solidFill>
            </c:spPr>
          </c:dPt>
          <c:dPt>
            <c:idx val="2"/>
            <c:spPr>
              <a:solidFill>
                <a:srgbClr val="10B981"/>
              </a:solidFill>
            </c:spPr>
          </c:dPt>
          <c:dLbls>
            <c:showCatName val="1"/>
            <c:showPercent val="1"/>
            <c:separator>
</c:separator>
          </c:dLbls>
          <c:cat>
            <c:strRef>
              <c:f>'Dashboard Formula (Reference)'!$J$2:$J$4</c:f>
              <c:strCache>
                <c:ptCount val="3"/>
                <c:pt idx="0">
                  <c:v>Open</c:v>
                </c:pt>
                <c:pt idx="1">
                  <c:v>In Progress</c:v>
                </c:pt>
                <c:pt idx="2">
                  <c:v>Closed</c:v>
                </c:pt>
              </c:strCache>
            </c:strRef>
          </c:cat>
          <c:val>
            <c:numRef>
              <c:f>'Dashboard Formula (Reference)'!$K$2:$K$4</c:f>
              <c:numCache>
                <c:formatCode>General</c:formatCode>
                <c:ptCount val="3"/>
                <c:pt idx="0">
                  <c:v>5</c:v>
                </c:pt>
                <c:pt idx="1">
                  <c:v>2</c:v>
                </c:pt>
                <c:pt idx="2">
                  <c:v>348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 City Distribution</a:t>
            </a:r>
          </a:p>
        </c:rich>
      </c:tx>
      <c:layout/>
    </c:title>
    <c:plotArea>
      <c:layout/>
      <c:pieChart>
        <c:varyColors val="1"/>
        <c:ser>
          <c:idx val="0"/>
          <c:order val="0"/>
          <c:tx>
            <c:v>City</c:v>
          </c:tx>
          <c:dPt>
            <c:idx val="0"/>
            <c:spPr>
              <a:solidFill>
                <a:srgbClr val="3B82F6"/>
              </a:solidFill>
            </c:spPr>
          </c:dPt>
          <c:dPt>
            <c:idx val="1"/>
            <c:spPr>
              <a:solidFill>
                <a:srgbClr val="F59E0B"/>
              </a:solidFill>
            </c:spPr>
          </c:dPt>
          <c:dLbls>
            <c:showCatName val="1"/>
            <c:showPercent val="1"/>
            <c:separator>
</c:separator>
          </c:dLbls>
          <c:cat>
            <c:strRef>
              <c:f>'Dashboard Formula (Reference)'!$M$2:$M$3</c:f>
              <c:strCache>
                <c:ptCount val="2"/>
                <c:pt idx="0">
                  <c:v>Gurugram</c:v>
                </c:pt>
                <c:pt idx="1">
                  <c:v>Noida</c:v>
                </c:pt>
              </c:strCache>
            </c:strRef>
          </c:cat>
          <c:val>
            <c:numRef>
              <c:f>'Dashboard Formula (Reference)'!$N$2:$N$3</c:f>
              <c:numCache>
                <c:formatCode>General</c:formatCode>
                <c:ptCount val="2"/>
                <c:pt idx="0">
                  <c:v>237</c:v>
                </c:pt>
                <c:pt idx="1">
                  <c:v>118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 Business Impact</a:t>
            </a:r>
          </a:p>
        </c:rich>
      </c:tx>
      <c:layout/>
    </c:title>
    <c:plotArea>
      <c:layout/>
      <c:pieChart>
        <c:varyColors val="1"/>
        <c:ser>
          <c:idx val="0"/>
          <c:order val="0"/>
          <c:tx>
            <c:v>Business Impact</c:v>
          </c:tx>
          <c:dPt>
            <c:idx val="0"/>
            <c:spPr>
              <a:solidFill>
                <a:srgbClr val="EF4444"/>
              </a:solidFill>
            </c:spPr>
          </c:dPt>
          <c:dPt>
            <c:idx val="1"/>
            <c:spPr>
              <a:solidFill>
                <a:srgbClr val="10B981"/>
              </a:solidFill>
            </c:spPr>
          </c:dPt>
          <c:dLbls>
            <c:showCatName val="1"/>
            <c:showPercent val="1"/>
            <c:separator>
</c:separator>
          </c:dLbls>
          <c:cat>
            <c:strRef>
              <c:f>'Dashboard Formula (Reference)'!$A$11:$A$12</c:f>
              <c:strCache>
                <c:ptCount val="2"/>
                <c:pt idx="0">
                  <c:v>Yes</c:v>
                </c:pt>
                <c:pt idx="1">
                  <c:v>No</c:v>
                </c:pt>
              </c:strCache>
            </c:strRef>
          </c:cat>
          <c:val>
            <c:numRef>
              <c:f>'Dashboard Formula (Reference)'!$B$11:$B$12</c:f>
              <c:numCache>
                <c:formatCode>General</c:formatCode>
                <c:ptCount val="2"/>
                <c:pt idx="0">
                  <c:v>99</c:v>
                </c:pt>
                <c:pt idx="1">
                  <c:v>256</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42"/>
  <c:chart>
    <c:title>
      <c:tx>
        <c:rich>
          <a:bodyPr/>
          <a:lstStyle/>
          <a:p>
            <a:pPr>
              <a:defRPr/>
            </a:pPr>
            <a:r>
              <a:rPr lang="en-US"/>
              <a:t>⏳ Aging Bucket Distribution</a:t>
            </a:r>
          </a:p>
        </c:rich>
      </c:tx>
      <c:layout/>
    </c:title>
    <c:plotArea>
      <c:layout/>
      <c:barChart>
        <c:barDir val="col"/>
        <c:grouping val="clustered"/>
        <c:ser>
          <c:idx val="0"/>
          <c:order val="0"/>
          <c:tx>
            <c:v>Incidents</c:v>
          </c:tx>
          <c:dPt>
            <c:idx val="0"/>
            <c:spPr>
              <a:solidFill>
                <a:srgbClr val="10B981"/>
              </a:solidFill>
            </c:spPr>
          </c:dPt>
          <c:dPt>
            <c:idx val="1"/>
            <c:spPr>
              <a:solidFill>
                <a:srgbClr val="3B82F6"/>
              </a:solidFill>
            </c:spPr>
          </c:dPt>
          <c:dPt>
            <c:idx val="2"/>
            <c:spPr>
              <a:solidFill>
                <a:srgbClr val="F59E0B"/>
              </a:solidFill>
            </c:spPr>
          </c:dPt>
          <c:dPt>
            <c:idx val="3"/>
            <c:spPr>
              <a:solidFill>
                <a:srgbClr val="F97316"/>
              </a:solidFill>
            </c:spPr>
          </c:dPt>
          <c:dPt>
            <c:idx val="4"/>
            <c:spPr>
              <a:solidFill>
                <a:srgbClr val="EF4444"/>
              </a:solidFill>
            </c:spPr>
          </c:dPt>
          <c:cat>
            <c:strRef>
              <c:f>'Dashboard Formula (Reference)'!$D$11:$D$15</c:f>
              <c:strCache>
                <c:ptCount val="5"/>
                <c:pt idx="0">
                  <c:v>0 - 5 Days</c:v>
                </c:pt>
                <c:pt idx="1">
                  <c:v>5 - 10 Days</c:v>
                </c:pt>
                <c:pt idx="2">
                  <c:v>10 - 20 Days</c:v>
                </c:pt>
                <c:pt idx="3">
                  <c:v>20 - 30 Days</c:v>
                </c:pt>
                <c:pt idx="4">
                  <c:v>30 + Days</c:v>
                </c:pt>
              </c:strCache>
            </c:strRef>
          </c:cat>
          <c:val>
            <c:numRef>
              <c:f>'Dashboard Formula (Reference)'!$E$11:$E$15</c:f>
              <c:numCache>
                <c:formatCode>General</c:formatCode>
                <c:ptCount val="5"/>
                <c:pt idx="0">
                  <c:v>2</c:v>
                </c:pt>
                <c:pt idx="1">
                  <c:v>3</c:v>
                </c:pt>
                <c:pt idx="2">
                  <c:v>9</c:v>
                </c:pt>
                <c:pt idx="3">
                  <c:v>9</c:v>
                </c:pt>
                <c:pt idx="4">
                  <c:v>332</c:v>
                </c:pt>
              </c:numCache>
            </c:numRef>
          </c:val>
        </c:ser>
        <c:gapWidth val="100"/>
        <c:axId val="50060001"/>
        <c:axId val="50060002"/>
      </c:barChart>
      <c:catAx>
        <c:axId val="50060001"/>
        <c:scaling>
          <c:orientation val="minMax"/>
        </c:scaling>
        <c:axPos val="b"/>
        <c:title>
          <c:tx>
            <c:rich>
              <a:bodyPr/>
              <a:lstStyle/>
              <a:p>
                <a:pPr>
                  <a:defRPr/>
                </a:pPr>
                <a:r>
                  <a:rPr lang="en-US"/>
                  <a:t>Aging Bucket</a:t>
                </a:r>
              </a:p>
            </c:rich>
          </c:tx>
          <c:layout/>
        </c:title>
        <c:tickLblPos val="nextTo"/>
        <c:crossAx val="50060002"/>
        <c:crosses val="autoZero"/>
        <c:auto val="1"/>
        <c:lblAlgn val="ctr"/>
        <c:lblOffset val="100"/>
      </c:catAx>
      <c:valAx>
        <c:axId val="50060002"/>
        <c:scaling>
          <c:orientation val="minMax"/>
        </c:scaling>
        <c:axPos val="l"/>
        <c:majorGridlines/>
        <c:title>
          <c:tx>
            <c:rich>
              <a:bodyPr/>
              <a:lstStyle/>
              <a:p>
                <a:pPr>
                  <a:defRPr/>
                </a:pPr>
                <a:r>
                  <a:rPr lang="en-US"/>
                  <a:t>Count</a:t>
                </a:r>
              </a:p>
            </c:rich>
          </c:tx>
          <c:layout/>
        </c:title>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style val="42"/>
  <c:chart>
    <c:title>
      <c:tx>
        <c:rich>
          <a:bodyPr/>
          <a:lstStyle/>
          <a:p>
            <a:pPr>
              <a:defRPr/>
            </a:pPr>
            <a:r>
              <a:rPr lang="en-US"/>
              <a:t>🏢 Incidents by Site/Facility</a:t>
            </a:r>
          </a:p>
        </c:rich>
      </c:tx>
      <c:layout/>
    </c:title>
    <c:plotArea>
      <c:layout/>
      <c:barChart>
        <c:barDir val="bar"/>
        <c:grouping val="clustered"/>
        <c:ser>
          <c:idx val="0"/>
          <c:order val="0"/>
          <c:tx>
            <c:v>Incidents</c:v>
          </c:tx>
          <c:spPr>
            <a:solidFill>
              <a:srgbClr val="06B6D4"/>
            </a:solidFill>
            <a:ln>
              <a:solidFill>
                <a:srgbClr val="0891B2"/>
              </a:solidFill>
            </a:ln>
          </c:spPr>
          <c:cat>
            <c:strRef>
              <c:f>'Dashboard Formula (Reference)'!$G$11:$G$21</c:f>
              <c:strCache>
                <c:ptCount val="11"/>
                <c:pt idx="0">
                  <c:v>DLF 10 B&amp;C</c:v>
                </c:pt>
                <c:pt idx="1">
                  <c:v>Capital City BPTP</c:v>
                </c:pt>
                <c:pt idx="2">
                  <c:v>Cyber Green</c:v>
                </c:pt>
                <c:pt idx="3">
                  <c:v>DLF Tech Park</c:v>
                </c:pt>
                <c:pt idx="4">
                  <c:v>DLF Downtown - Gurgaon</c:v>
                </c:pt>
                <c:pt idx="5">
                  <c:v>Two Horizon</c:v>
                </c:pt>
                <c:pt idx="6">
                  <c:v>DLF 8</c:v>
                </c:pt>
                <c:pt idx="7">
                  <c:v>DLF 6</c:v>
                </c:pt>
                <c:pt idx="8">
                  <c:v>Good Earth Business Bay II</c:v>
                </c:pt>
                <c:pt idx="9">
                  <c:v>Global Gateway</c:v>
                </c:pt>
                <c:pt idx="10">
                  <c:v>DLF 5 A</c:v>
                </c:pt>
              </c:strCache>
            </c:strRef>
          </c:cat>
          <c:val>
            <c:numRef>
              <c:f>'Dashboard Formula (Reference)'!$H$11:$H$21</c:f>
              <c:numCache>
                <c:formatCode>General</c:formatCode>
                <c:ptCount val="11"/>
                <c:pt idx="0">
                  <c:v>120</c:v>
                </c:pt>
                <c:pt idx="1">
                  <c:v>89</c:v>
                </c:pt>
                <c:pt idx="2">
                  <c:v>53</c:v>
                </c:pt>
                <c:pt idx="3">
                  <c:v>29</c:v>
                </c:pt>
                <c:pt idx="4">
                  <c:v>21</c:v>
                </c:pt>
                <c:pt idx="5">
                  <c:v>17</c:v>
                </c:pt>
                <c:pt idx="6">
                  <c:v>14</c:v>
                </c:pt>
                <c:pt idx="7">
                  <c:v>7</c:v>
                </c:pt>
                <c:pt idx="8">
                  <c:v>2</c:v>
                </c:pt>
                <c:pt idx="9">
                  <c:v>2</c:v>
                </c:pt>
                <c:pt idx="10">
                  <c:v>1</c:v>
                </c:pt>
              </c:numCache>
            </c:numRef>
          </c:val>
        </c:ser>
        <c:gapWidth val="80"/>
        <c:axId val="50070001"/>
        <c:axId val="50070002"/>
      </c:barChart>
      <c:catAx>
        <c:axId val="50070001"/>
        <c:scaling>
          <c:orientation val="minMax"/>
        </c:scaling>
        <c:axPos val="l"/>
        <c:title>
          <c:tx>
            <c:rich>
              <a:bodyPr rot="-5400000" vert="horz"/>
              <a:lstStyle/>
              <a:p>
                <a:pPr>
                  <a:defRPr/>
                </a:pPr>
                <a:r>
                  <a:rPr lang="en-US"/>
                  <a:t>Facility</a:t>
                </a:r>
              </a:p>
            </c:rich>
          </c:tx>
          <c:layout/>
        </c:title>
        <c:tickLblPos val="nextTo"/>
        <c:crossAx val="50070002"/>
        <c:crosses val="autoZero"/>
        <c:auto val="1"/>
        <c:lblAlgn val="ctr"/>
        <c:lblOffset val="100"/>
      </c:catAx>
      <c:valAx>
        <c:axId val="50070002"/>
        <c:scaling>
          <c:orientation val="minMax"/>
        </c:scaling>
        <c:axPos val="b"/>
        <c:majorGridlines/>
        <c:title>
          <c:tx>
            <c:rich>
              <a:bodyPr/>
              <a:lstStyle/>
              <a:p>
                <a:pPr>
                  <a:defRPr/>
                </a:pPr>
                <a:r>
                  <a:rPr lang="en-US"/>
                  <a:t>Count</a:t>
                </a:r>
              </a:p>
            </c:rich>
          </c:tx>
          <c:layout/>
        </c:title>
        <c:numFmt formatCode="General" sourceLinked="1"/>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style val="42"/>
  <c:chart>
    <c:title>
      <c:tx>
        <c:rich>
          <a:bodyPr/>
          <a:lstStyle/>
          <a:p>
            <a:pPr>
              <a:defRPr/>
            </a:pPr>
            <a:r>
              <a:rPr lang="en-US"/>
              <a:t>🔧 Sub-Category Breakdown</a:t>
            </a:r>
          </a:p>
        </c:rich>
      </c:tx>
      <c:layout/>
    </c:title>
    <c:plotArea>
      <c:layout/>
      <c:barChart>
        <c:barDir val="bar"/>
        <c:grouping val="clustered"/>
        <c:ser>
          <c:idx val="0"/>
          <c:order val="0"/>
          <c:tx>
            <c:v>Incidents</c:v>
          </c:tx>
          <c:spPr>
            <a:solidFill>
              <a:srgbClr val="F59E0B"/>
            </a:solidFill>
            <a:ln>
              <a:solidFill>
                <a:srgbClr val="D97706"/>
              </a:solidFill>
            </a:ln>
          </c:spPr>
          <c:cat>
            <c:strRef>
              <c:f>'Dashboard Formula (Reference)'!$J$11:$J$37</c:f>
              <c:strCache>
                <c:ptCount val="27"/>
                <c:pt idx="0">
                  <c:v>Electrical</c:v>
                </c:pt>
                <c:pt idx="1">
                  <c:v>Safety security systems</c:v>
                </c:pt>
                <c:pt idx="2">
                  <c:v>Plumbing</c:v>
                </c:pt>
                <c:pt idx="3">
                  <c:v>Access control/CCTV/Security System</c:v>
                </c:pt>
                <c:pt idx="4">
                  <c:v>Medical Emergencies</c:v>
                </c:pt>
                <c:pt idx="5">
                  <c:v>Others</c:v>
                </c:pt>
                <c:pt idx="6">
                  <c:v>Compliance and Policy Violations</c:v>
                </c:pt>
                <c:pt idx="7">
                  <c:v>HVAC</c:v>
                </c:pt>
                <c:pt idx="8">
                  <c:v>Carpentry</c:v>
                </c:pt>
                <c:pt idx="9">
                  <c:v>Others (Engineering)</c:v>
                </c:pt>
                <c:pt idx="10">
                  <c:v>Food &amp; Beverages</c:v>
                </c:pt>
                <c:pt idx="11">
                  <c:v>Civil</c:v>
                </c:pt>
                <c:pt idx="12">
                  <c:v>Security System Incidents</c:v>
                </c:pt>
                <c:pt idx="13">
                  <c:v>Drinking water</c:v>
                </c:pt>
                <c:pt idx="14">
                  <c:v>Theft or Loss</c:v>
                </c:pt>
                <c:pt idx="15">
                  <c:v>Pest Control</c:v>
                </c:pt>
                <c:pt idx="16">
                  <c:v>Unauthorized Access</c:v>
                </c:pt>
                <c:pt idx="17">
                  <c:v>Workplace Violence</c:v>
                </c:pt>
                <c:pt idx="18">
                  <c:v>Harm to People</c:v>
                </c:pt>
                <c:pt idx="19">
                  <c:v>Animal Movement</c:v>
                </c:pt>
                <c:pt idx="20">
                  <c:v>Housekeeping</c:v>
                </c:pt>
                <c:pt idx="21">
                  <c:v>Natural Disasters</c:v>
                </c:pt>
                <c:pt idx="22">
                  <c:v>Other</c:v>
                </c:pt>
                <c:pt idx="23">
                  <c:v>Restroom Cleaning</c:v>
                </c:pt>
                <c:pt idx="24">
                  <c:v>Cleaning</c:v>
                </c:pt>
                <c:pt idx="25">
                  <c:v>Vehicle Damage</c:v>
                </c:pt>
                <c:pt idx="26">
                  <c:v>Ergonomic Impacts</c:v>
                </c:pt>
              </c:strCache>
            </c:strRef>
          </c:cat>
          <c:val>
            <c:numRef>
              <c:f>'Dashboard Formula (Reference)'!$K$11:$K$37</c:f>
              <c:numCache>
                <c:formatCode>General</c:formatCode>
                <c:ptCount val="27"/>
                <c:pt idx="0">
                  <c:v>62</c:v>
                </c:pt>
                <c:pt idx="1">
                  <c:v>49</c:v>
                </c:pt>
                <c:pt idx="2">
                  <c:v>39</c:v>
                </c:pt>
                <c:pt idx="3">
                  <c:v>23</c:v>
                </c:pt>
                <c:pt idx="4">
                  <c:v>18</c:v>
                </c:pt>
                <c:pt idx="5">
                  <c:v>17</c:v>
                </c:pt>
                <c:pt idx="6">
                  <c:v>16</c:v>
                </c:pt>
                <c:pt idx="7">
                  <c:v>16</c:v>
                </c:pt>
                <c:pt idx="8">
                  <c:v>14</c:v>
                </c:pt>
                <c:pt idx="9">
                  <c:v>13</c:v>
                </c:pt>
                <c:pt idx="10">
                  <c:v>11</c:v>
                </c:pt>
                <c:pt idx="11">
                  <c:v>11</c:v>
                </c:pt>
                <c:pt idx="12">
                  <c:v>7</c:v>
                </c:pt>
                <c:pt idx="13">
                  <c:v>6</c:v>
                </c:pt>
                <c:pt idx="14">
                  <c:v>6</c:v>
                </c:pt>
                <c:pt idx="15">
                  <c:v>5</c:v>
                </c:pt>
                <c:pt idx="16">
                  <c:v>5</c:v>
                </c:pt>
                <c:pt idx="17">
                  <c:v>4</c:v>
                </c:pt>
                <c:pt idx="18">
                  <c:v>3</c:v>
                </c:pt>
                <c:pt idx="19">
                  <c:v>2</c:v>
                </c:pt>
                <c:pt idx="20">
                  <c:v>2</c:v>
                </c:pt>
                <c:pt idx="21">
                  <c:v>2</c:v>
                </c:pt>
                <c:pt idx="22">
                  <c:v>1</c:v>
                </c:pt>
                <c:pt idx="23">
                  <c:v>1</c:v>
                </c:pt>
                <c:pt idx="24">
                  <c:v>1</c:v>
                </c:pt>
                <c:pt idx="25">
                  <c:v>1</c:v>
                </c:pt>
                <c:pt idx="26">
                  <c:v>1</c:v>
                </c:pt>
              </c:numCache>
            </c:numRef>
          </c:val>
        </c:ser>
        <c:gapWidth val="60"/>
        <c:axId val="50080001"/>
        <c:axId val="50080002"/>
      </c:barChart>
      <c:catAx>
        <c:axId val="50080001"/>
        <c:scaling>
          <c:orientation val="minMax"/>
        </c:scaling>
        <c:axPos val="l"/>
        <c:title>
          <c:tx>
            <c:rich>
              <a:bodyPr rot="-5400000" vert="horz"/>
              <a:lstStyle/>
              <a:p>
                <a:pPr>
                  <a:defRPr/>
                </a:pPr>
                <a:r>
                  <a:rPr lang="en-US"/>
                  <a:t>Sub-Category</a:t>
                </a:r>
              </a:p>
            </c:rich>
          </c:tx>
          <c:layout/>
        </c:title>
        <c:tickLblPos val="nextTo"/>
        <c:crossAx val="50080002"/>
        <c:crosses val="autoZero"/>
        <c:auto val="1"/>
        <c:lblAlgn val="ctr"/>
        <c:lblOffset val="100"/>
      </c:catAx>
      <c:valAx>
        <c:axId val="50080002"/>
        <c:scaling>
          <c:orientation val="minMax"/>
        </c:scaling>
        <c:axPos val="b"/>
        <c:majorGridlines/>
        <c:title>
          <c:tx>
            <c:rich>
              <a:bodyPr/>
              <a:lstStyle/>
              <a:p>
                <a:pPr>
                  <a:defRPr/>
                </a:pPr>
                <a:r>
                  <a:rPr lang="en-US"/>
                  <a:t>Count</a:t>
                </a:r>
              </a:p>
            </c:rich>
          </c:tx>
          <c:layout/>
        </c:title>
        <c:numFmt formatCode="General" sourceLinked="1"/>
        <c:tickLblPos val="nextTo"/>
        <c:crossAx val="5008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4</xdr:col>
      <xdr:colOff>1209675</xdr:colOff>
      <xdr:row>27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9</xdr:col>
      <xdr:colOff>1209675</xdr:colOff>
      <xdr:row>27</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28</xdr:row>
      <xdr:rowOff>0</xdr:rowOff>
    </xdr:from>
    <xdr:to>
      <xdr:col>4</xdr:col>
      <xdr:colOff>1209675</xdr:colOff>
      <xdr:row>45</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28</xdr:row>
      <xdr:rowOff>0</xdr:rowOff>
    </xdr:from>
    <xdr:to>
      <xdr:col>9</xdr:col>
      <xdr:colOff>1209675</xdr:colOff>
      <xdr:row>45</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46</xdr:row>
      <xdr:rowOff>0</xdr:rowOff>
    </xdr:from>
    <xdr:to>
      <xdr:col>4</xdr:col>
      <xdr:colOff>1209675</xdr:colOff>
      <xdr:row>63</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46</xdr:row>
      <xdr:rowOff>0</xdr:rowOff>
    </xdr:from>
    <xdr:to>
      <xdr:col>9</xdr:col>
      <xdr:colOff>1209675</xdr:colOff>
      <xdr:row>63</xdr:row>
      <xdr:rowOff>95250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64</xdr:row>
      <xdr:rowOff>0</xdr:rowOff>
    </xdr:from>
    <xdr:to>
      <xdr:col>4</xdr:col>
      <xdr:colOff>1209675</xdr:colOff>
      <xdr:row>81</xdr:row>
      <xdr:rowOff>95250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64</xdr:row>
      <xdr:rowOff>0</xdr:rowOff>
    </xdr:from>
    <xdr:to>
      <xdr:col>9</xdr:col>
      <xdr:colOff>1209675</xdr:colOff>
      <xdr:row>81</xdr:row>
      <xdr:rowOff>95250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48"/>
  <sheetViews>
    <sheetView tabSelected="1" workbookViewId="0"/>
  </sheetViews>
  <sheetFormatPr defaultRowHeight="15"/>
  <sheetData>
    <row r="1" spans="1:2">
      <c r="A1" t="s">
        <v>0</v>
      </c>
      <c r="B1" t="s">
        <v>0</v>
      </c>
    </row>
    <row r="2" spans="1:2">
      <c r="A2" t="s">
        <v>1</v>
      </c>
      <c r="B2" t="s">
        <v>28</v>
      </c>
    </row>
    <row r="3" spans="1:2">
      <c r="A3" t="s">
        <v>2</v>
      </c>
      <c r="B3" t="s">
        <v>29</v>
      </c>
    </row>
    <row r="4" spans="1:2">
      <c r="A4" t="s">
        <v>3</v>
      </c>
      <c r="B4" t="s">
        <v>30</v>
      </c>
    </row>
    <row r="5" spans="1:2">
      <c r="A5" t="s">
        <v>4</v>
      </c>
      <c r="B5" t="s">
        <v>31</v>
      </c>
    </row>
    <row r="6" spans="1:2">
      <c r="A6" t="s">
        <v>5</v>
      </c>
      <c r="B6" t="s">
        <v>32</v>
      </c>
    </row>
    <row r="7" spans="1:2">
      <c r="A7" t="s">
        <v>6</v>
      </c>
      <c r="B7" t="s">
        <v>33</v>
      </c>
    </row>
    <row r="8" spans="1:2">
      <c r="A8" t="s">
        <v>7</v>
      </c>
      <c r="B8" t="s">
        <v>34</v>
      </c>
    </row>
    <row r="9" spans="1:2">
      <c r="A9" t="s">
        <v>8</v>
      </c>
      <c r="B9" t="s">
        <v>35</v>
      </c>
    </row>
    <row r="10" spans="1:2">
      <c r="A10" t="s">
        <v>9</v>
      </c>
      <c r="B10" t="s">
        <v>36</v>
      </c>
    </row>
    <row r="11" spans="1:2">
      <c r="A11" t="s">
        <v>10</v>
      </c>
      <c r="B11" t="s">
        <v>37</v>
      </c>
    </row>
    <row r="12" spans="1:2">
      <c r="A12" t="s">
        <v>11</v>
      </c>
      <c r="B12" t="s">
        <v>38</v>
      </c>
    </row>
    <row r="13" spans="1:2">
      <c r="A13" t="s">
        <v>12</v>
      </c>
      <c r="B13" t="s">
        <v>39</v>
      </c>
    </row>
    <row r="14" spans="1:2">
      <c r="A14" t="s">
        <v>13</v>
      </c>
      <c r="B14" t="s">
        <v>40</v>
      </c>
    </row>
    <row r="15" spans="1:2">
      <c r="A15" t="s">
        <v>14</v>
      </c>
      <c r="B15" t="s">
        <v>41</v>
      </c>
    </row>
    <row r="16" spans="1:2">
      <c r="A16" t="s">
        <v>15</v>
      </c>
      <c r="B16" t="s">
        <v>42</v>
      </c>
    </row>
    <row r="17" spans="1:2">
      <c r="A17" t="s">
        <v>16</v>
      </c>
      <c r="B17" t="s">
        <v>43</v>
      </c>
    </row>
    <row r="18" spans="1:2">
      <c r="A18" t="s">
        <v>17</v>
      </c>
      <c r="B18" t="s">
        <v>44</v>
      </c>
    </row>
    <row r="19" spans="1:2">
      <c r="A19" t="s">
        <v>18</v>
      </c>
      <c r="B19" t="s">
        <v>45</v>
      </c>
    </row>
    <row r="20" spans="1:2">
      <c r="A20" t="s">
        <v>19</v>
      </c>
      <c r="B20" t="s">
        <v>46</v>
      </c>
    </row>
    <row r="21" spans="1:2">
      <c r="A21" t="s">
        <v>20</v>
      </c>
      <c r="B21" t="s">
        <v>47</v>
      </c>
    </row>
    <row r="22" spans="1:2">
      <c r="A22" t="s">
        <v>21</v>
      </c>
      <c r="B22" t="s">
        <v>48</v>
      </c>
    </row>
    <row r="23" spans="1:2">
      <c r="A23" t="s">
        <v>22</v>
      </c>
      <c r="B23" t="s">
        <v>49</v>
      </c>
    </row>
    <row r="24" spans="1:2">
      <c r="A24" t="s">
        <v>23</v>
      </c>
      <c r="B24" t="s">
        <v>50</v>
      </c>
    </row>
    <row r="25" spans="1:2">
      <c r="A25" t="s">
        <v>24</v>
      </c>
      <c r="B25" t="s">
        <v>51</v>
      </c>
    </row>
    <row r="26" spans="1:2">
      <c r="A26" t="s">
        <v>25</v>
      </c>
      <c r="B26" t="s">
        <v>52</v>
      </c>
    </row>
    <row r="27" spans="1:2">
      <c r="A27" t="s">
        <v>26</v>
      </c>
      <c r="B27" t="s">
        <v>53</v>
      </c>
    </row>
    <row r="28" spans="1:2">
      <c r="A28" t="s">
        <v>27</v>
      </c>
      <c r="B28" t="s">
        <v>54</v>
      </c>
    </row>
    <row r="29" spans="1:2">
      <c r="B29" t="s">
        <v>55</v>
      </c>
    </row>
    <row r="30" spans="1:2">
      <c r="B30" t="s">
        <v>56</v>
      </c>
    </row>
    <row r="31" spans="1:2">
      <c r="B31" t="s">
        <v>57</v>
      </c>
    </row>
    <row r="32" spans="1:2">
      <c r="B32" t="s">
        <v>58</v>
      </c>
    </row>
    <row r="33" spans="2:2">
      <c r="B33" t="s">
        <v>59</v>
      </c>
    </row>
    <row r="34" spans="2:2">
      <c r="B34" t="s">
        <v>60</v>
      </c>
    </row>
    <row r="35" spans="2:2">
      <c r="B35" t="s">
        <v>61</v>
      </c>
    </row>
    <row r="36" spans="2:2">
      <c r="B36" t="s">
        <v>62</v>
      </c>
    </row>
    <row r="37" spans="2:2">
      <c r="B37" t="s">
        <v>63</v>
      </c>
    </row>
    <row r="38" spans="2:2">
      <c r="B38" t="s">
        <v>64</v>
      </c>
    </row>
    <row r="39" spans="2:2">
      <c r="B39" t="s">
        <v>65</v>
      </c>
    </row>
    <row r="40" spans="2:2">
      <c r="B40" t="s">
        <v>66</v>
      </c>
    </row>
    <row r="41" spans="2:2">
      <c r="B41" t="s">
        <v>67</v>
      </c>
    </row>
    <row r="42" spans="2:2">
      <c r="B42" t="s">
        <v>68</v>
      </c>
    </row>
    <row r="43" spans="2:2">
      <c r="B43" t="s">
        <v>69</v>
      </c>
    </row>
    <row r="44" spans="2:2">
      <c r="B44" t="s">
        <v>70</v>
      </c>
    </row>
    <row r="45" spans="2:2">
      <c r="B45" t="s">
        <v>71</v>
      </c>
    </row>
    <row r="46" spans="2:2">
      <c r="B46" t="s">
        <v>72</v>
      </c>
    </row>
    <row r="47" spans="2:2">
      <c r="B47" t="s">
        <v>73</v>
      </c>
    </row>
    <row r="48" spans="2:2">
      <c r="B48"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3B82F6"/>
  </sheetPr>
  <dimension ref="B1:L9"/>
  <sheetViews>
    <sheetView showGridLines="0" workbookViewId="0"/>
  </sheetViews>
  <sheetFormatPr defaultRowHeight="15"/>
  <cols>
    <col min="1" max="1" width="3.7109375" customWidth="1"/>
    <col min="2" max="12" width="18.7109375" customWidth="1"/>
    <col min="13" max="13" width="3.7109375" customWidth="1"/>
  </cols>
  <sheetData>
    <row r="1" spans="2:12" ht="40" customHeight="1">
      <c r="B1" s="1" t="s">
        <v>75</v>
      </c>
      <c r="C1" s="1"/>
      <c r="D1" s="1"/>
      <c r="E1" s="1"/>
      <c r="F1" s="1"/>
      <c r="G1" s="1"/>
      <c r="H1" s="1"/>
      <c r="I1" s="1"/>
      <c r="J1" s="1"/>
      <c r="K1" s="1"/>
      <c r="L1" s="1"/>
    </row>
    <row r="2" spans="2:12" ht="20" customHeight="1">
      <c r="B2" s="2" t="s">
        <v>76</v>
      </c>
      <c r="C2" s="2"/>
      <c r="D2" s="2"/>
      <c r="E2" s="2"/>
      <c r="F2" s="2"/>
      <c r="G2" s="2"/>
      <c r="H2" s="2"/>
      <c r="I2" s="2"/>
      <c r="J2" s="2"/>
      <c r="K2" s="2"/>
      <c r="L2" s="2"/>
    </row>
    <row r="4" spans="2:12" ht="20" customHeight="1">
      <c r="B4" s="3" t="s">
        <v>77</v>
      </c>
      <c r="C4" s="3" t="s">
        <v>78</v>
      </c>
      <c r="D4" s="3" t="s">
        <v>79</v>
      </c>
      <c r="E4" s="3" t="s">
        <v>80</v>
      </c>
      <c r="F4" s="3" t="s">
        <v>81</v>
      </c>
      <c r="G4" s="3" t="s">
        <v>82</v>
      </c>
      <c r="H4" s="3" t="s">
        <v>83</v>
      </c>
      <c r="I4" s="3" t="s">
        <v>84</v>
      </c>
      <c r="J4" s="3" t="s">
        <v>85</v>
      </c>
      <c r="K4" s="3" t="s">
        <v>86</v>
      </c>
      <c r="L4" s="3" t="s">
        <v>87</v>
      </c>
    </row>
    <row r="5" spans="2:12" ht="25" customHeight="1">
      <c r="B5" s="4" t="s">
        <v>0</v>
      </c>
      <c r="C5" s="4" t="s">
        <v>0</v>
      </c>
      <c r="D5" s="4" t="s">
        <v>0</v>
      </c>
      <c r="E5" s="4" t="s">
        <v>0</v>
      </c>
      <c r="F5" s="4" t="s">
        <v>0</v>
      </c>
      <c r="G5" s="4" t="s">
        <v>0</v>
      </c>
      <c r="H5" s="4" t="s">
        <v>0</v>
      </c>
      <c r="I5" s="4" t="s">
        <v>0</v>
      </c>
      <c r="J5" s="4" t="s">
        <v>0</v>
      </c>
      <c r="K5" s="5"/>
      <c r="L5" s="5"/>
    </row>
    <row r="6" spans="2:12" ht="30" customHeight="1">
      <c r="B6" s="6" t="s">
        <v>88</v>
      </c>
      <c r="C6" s="6"/>
      <c r="D6" s="6"/>
      <c r="E6" s="6"/>
      <c r="F6" s="6"/>
      <c r="G6" s="6"/>
      <c r="H6" s="6"/>
      <c r="I6" s="6"/>
      <c r="J6" s="6"/>
      <c r="K6" s="6"/>
      <c r="L6" s="6"/>
    </row>
    <row r="8" spans="2:12" ht="18" customHeight="1">
      <c r="B8" s="7" t="s">
        <v>89</v>
      </c>
      <c r="D8" s="7" t="s">
        <v>90</v>
      </c>
      <c r="F8" s="7" t="s">
        <v>91</v>
      </c>
      <c r="H8" s="7" t="s">
        <v>92</v>
      </c>
      <c r="J8" s="7" t="s">
        <v>93</v>
      </c>
      <c r="L8" s="7" t="s">
        <v>94</v>
      </c>
    </row>
    <row r="9" spans="2:12" ht="45" customHeight="1">
      <c r="B9" s="8">
        <f>'Dashboard Formula (Reference)'!B2</f>
        <v>355</v>
      </c>
      <c r="D9" s="9">
        <f>'Dashboard Formula (Reference)'!B3</f>
        <v>5</v>
      </c>
      <c r="F9" s="10">
        <f>'Dashboard Formula (Reference)'!B4</f>
        <v>348</v>
      </c>
      <c r="H9" s="11">
        <f>'Dashboard Formula (Reference)'!B5</f>
        <v>2</v>
      </c>
      <c r="J9" s="12">
        <f>'Dashboard Formula (Reference)'!B6</f>
        <v>99</v>
      </c>
      <c r="L9" s="13">
        <f>'Dashboard Formula (Reference)'!B7</f>
        <v>11</v>
      </c>
    </row>
  </sheetData>
  <mergeCells count="3">
    <mergeCell ref="B1:L1"/>
    <mergeCell ref="B2:L2"/>
    <mergeCell ref="B6:L6"/>
  </mergeCells>
  <dataValidations count="9">
    <dataValidation type="list" allowBlank="1" showInputMessage="1" showErrorMessage="1" promptTitle="Select City" prompt="Choose a value or &quot;All&quot; for no filter" sqref="B5">
      <formula1>"All,Gurugram,Noida"</formula1>
    </dataValidation>
    <dataValidation type="list" allowBlank="1" showInputMessage="1" showErrorMessage="1" promptTitle="Select Facility" prompt="Choose a value or &quot;All&quot; for no filter" sqref="C5">
      <formula1>"All,Capital City BPTP,Cyber Green,DLF 10 B&amp;C,DLF 5 A,DLF 6,DLF 8,DLF Downtown - Gurgaon,DLF Tech Park,Global Gateway,Good Earth Business Bay II,Two Horizon"</formula1>
    </dataValidation>
    <dataValidation type="list" allowBlank="1" showInputMessage="1" showErrorMessage="1" promptTitle="Select Month" prompt="Choose a value or &quot;All&quot; for no filter" sqref="D5">
      <formula1>"All,Nov'24,Dec'24,Jan'25,Feb'25,Mar'25,Apr'25,May'25,Jun'25,Jul'25,Aug'25,Sep'25,Oct'25,Nov'25,Dec'25,Jan'26,Feb'26,Mar'26"</formula1>
    </dataValidation>
    <dataValidation type="list" allowBlank="1" showInputMessage="1" showErrorMessage="1" promptTitle="Select Category" prompt="Choose a value or &quot;All&quot; for no filter" sqref="E5">
      <formula1>"All,Engineering &amp; Building Services,Health &amp; Safety,Operations,Others,Security,Traffic &amp; Transport"</formula1>
    </dataValidation>
    <dataValidation type="list" allowBlank="1" showInputMessage="1" showErrorMessage="1" promptTitle="Select Sub-Category" prompt="Choose a value or &quot;All&quot; for no filter" sqref="F5">
      <formula1>SubCategoryList</formula1>
    </dataValidation>
    <dataValidation type="list" allowBlank="1" showInputMessage="1" showErrorMessage="1" promptTitle="Select Status" prompt="Choose a value or &quot;All&quot; for no filter" sqref="G5">
      <formula1>"All,Open,In Progress,Closed"</formula1>
    </dataValidation>
    <dataValidation type="list" allowBlank="1" showInputMessage="1" showErrorMessage="1" promptTitle="Select Client" prompt="Choose a value or &quot;All&quot; for no filter" sqref="H5">
      <formula1>ClientList</formula1>
    </dataValidation>
    <dataValidation type="list" allowBlank="1" showInputMessage="1" showErrorMessage="1" promptTitle="Select Business Impact" prompt="Choose a value or &quot;All&quot; for no filter" sqref="I5">
      <formula1>"All,Yes,No"</formula1>
    </dataValidation>
    <dataValidation type="list" allowBlank="1" showInputMessage="1" showErrorMessage="1" promptTitle="Select Bucket" prompt="Choose a value or &quot;All&quot; for no filter" sqref="J5">
      <formula1>"All,0 - 5 Days,5 - 10 Days,10 - 20 Days,20 - 30 Days,30 + Days"</formula1>
    </dataValidation>
  </dataValidations>
  <pageMargins left="0.7" right="0.7" top="0.75" bottom="0.7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sheetPr>
    <tabColor rgb="FF8B5CF6"/>
  </sheetPr>
  <dimension ref="A1:N37"/>
  <sheetViews>
    <sheetView workbookViewId="0"/>
  </sheetViews>
  <sheetFormatPr defaultRowHeight="15"/>
  <cols>
    <col min="1" max="1" width="25.7109375" customWidth="1"/>
    <col min="2" max="2" width="15.7109375" customWidth="1"/>
    <col min="3" max="3" width="5.7109375" customWidth="1"/>
    <col min="4" max="4" width="30.7109375" customWidth="1"/>
    <col min="5" max="5" width="15.7109375" customWidth="1"/>
    <col min="6" max="6" width="5.7109375" customWidth="1"/>
    <col min="7" max="7" width="25.7109375" customWidth="1"/>
    <col min="8" max="8" width="15.7109375" customWidth="1"/>
    <col min="9" max="9" width="5.7109375" customWidth="1"/>
    <col min="10" max="10" width="30.7109375" customWidth="1"/>
    <col min="11" max="11" width="15.7109375" customWidth="1"/>
    <col min="12" max="12" width="5.7109375" customWidth="1"/>
    <col min="13" max="13" width="25.7109375" customWidth="1"/>
    <col min="14" max="14" width="15.7109375" customWidth="1"/>
  </cols>
  <sheetData>
    <row r="1" spans="1:14">
      <c r="A1" s="14" t="s">
        <v>95</v>
      </c>
      <c r="B1" s="14" t="s">
        <v>96</v>
      </c>
      <c r="D1" s="14" t="s">
        <v>103</v>
      </c>
      <c r="E1" s="14" t="s">
        <v>96</v>
      </c>
      <c r="G1" s="14" t="s">
        <v>109</v>
      </c>
      <c r="H1" s="14" t="s">
        <v>96</v>
      </c>
      <c r="J1" s="14" t="s">
        <v>127</v>
      </c>
      <c r="K1" s="14" t="s">
        <v>96</v>
      </c>
      <c r="M1" s="14" t="s">
        <v>128</v>
      </c>
      <c r="N1" s="14" t="s">
        <v>96</v>
      </c>
    </row>
    <row r="2" spans="1:14">
      <c r="A2" s="15" t="s">
        <v>97</v>
      </c>
      <c r="B2" s="16">
        <f>COUNTA(Incidents!H2:H356)</f>
        <v>355</v>
      </c>
      <c r="D2" s="15" t="s">
        <v>104</v>
      </c>
      <c r="E2" s="16">
        <f>COUNTIF(Incidents!L2:L356,D2)</f>
        <v>218</v>
      </c>
      <c r="G2" s="15" t="s">
        <v>110</v>
      </c>
      <c r="H2" s="16">
        <f>COUNTIF(Incidents!D2:D356,G2)</f>
        <v>17</v>
      </c>
      <c r="J2" s="15" t="s">
        <v>98</v>
      </c>
      <c r="K2" s="16">
        <f>COUNTIF(Incidents!R2:R356,J2)</f>
        <v>5</v>
      </c>
      <c r="M2" s="15" t="s">
        <v>129</v>
      </c>
      <c r="N2" s="16">
        <f>COUNTIF(Incidents!A2:A356,M2)</f>
        <v>237</v>
      </c>
    </row>
    <row r="3" spans="1:14">
      <c r="A3" s="15" t="s">
        <v>98</v>
      </c>
      <c r="B3" s="16">
        <f>COUNTIF(Incidents!R2:R356,"Open")</f>
        <v>5</v>
      </c>
      <c r="D3" s="15" t="s">
        <v>105</v>
      </c>
      <c r="E3" s="16">
        <f>COUNTIF(Incidents!L2:L356,D3)</f>
        <v>61</v>
      </c>
      <c r="G3" s="15" t="s">
        <v>111</v>
      </c>
      <c r="H3" s="16">
        <f>COUNTIF(Incidents!D2:D356,G3)</f>
        <v>24</v>
      </c>
      <c r="J3" s="15" t="s">
        <v>100</v>
      </c>
      <c r="K3" s="16">
        <f>COUNTIF(Incidents!R2:R356,J3)</f>
        <v>2</v>
      </c>
      <c r="M3" s="15" t="s">
        <v>130</v>
      </c>
      <c r="N3" s="16">
        <f>COUNTIF(Incidents!A2:A356,M3)</f>
        <v>118</v>
      </c>
    </row>
    <row r="4" spans="1:14">
      <c r="A4" s="15" t="s">
        <v>99</v>
      </c>
      <c r="B4" s="16">
        <f>COUNTIF(Incidents!R2:R356,"Closed")</f>
        <v>348</v>
      </c>
      <c r="D4" s="15" t="s">
        <v>106</v>
      </c>
      <c r="E4" s="16">
        <f>COUNTIF(Incidents!L2:L356,D4)</f>
        <v>28</v>
      </c>
      <c r="G4" s="15" t="s">
        <v>112</v>
      </c>
      <c r="H4" s="16">
        <f>COUNTIF(Incidents!D2:D356,G4)</f>
        <v>26</v>
      </c>
      <c r="J4" s="15" t="s">
        <v>99</v>
      </c>
      <c r="K4" s="16">
        <f>COUNTIF(Incidents!R2:R356,J4)</f>
        <v>348</v>
      </c>
    </row>
    <row r="5" spans="1:14">
      <c r="A5" s="15" t="s">
        <v>100</v>
      </c>
      <c r="B5" s="16">
        <f>COUNTIF(Incidents!R2:R356,"In Progress")</f>
        <v>2</v>
      </c>
      <c r="D5" s="15" t="s">
        <v>107</v>
      </c>
      <c r="E5" s="16">
        <f>COUNTIF(Incidents!L2:L356,D5)</f>
        <v>25</v>
      </c>
      <c r="G5" s="15" t="s">
        <v>113</v>
      </c>
      <c r="H5" s="16">
        <f>COUNTIF(Incidents!D2:D356,G5)</f>
        <v>24</v>
      </c>
    </row>
    <row r="6" spans="1:14">
      <c r="A6" s="15" t="s">
        <v>101</v>
      </c>
      <c r="B6" s="16">
        <f>COUNTIF(Incidents!O2:O356,"Yes")</f>
        <v>99</v>
      </c>
      <c r="D6" s="15" t="s">
        <v>17</v>
      </c>
      <c r="E6" s="16">
        <f>COUNTIF(Incidents!L2:L356,D6)</f>
        <v>21</v>
      </c>
      <c r="G6" s="15" t="s">
        <v>114</v>
      </c>
      <c r="H6" s="16">
        <f>COUNTIF(Incidents!D2:D356,G6)</f>
        <v>16</v>
      </c>
    </row>
    <row r="7" spans="1:14">
      <c r="A7" s="15" t="s">
        <v>102</v>
      </c>
      <c r="B7" s="16">
        <f>SUMPRODUCT(1/COUNTIF(Incidents!B2:B356,Incidents!B2:B356))</f>
        <v>11</v>
      </c>
      <c r="D7" s="15" t="s">
        <v>108</v>
      </c>
      <c r="E7" s="16">
        <f>COUNTIF(Incidents!L2:L356,D7)</f>
        <v>2</v>
      </c>
      <c r="G7" s="15" t="s">
        <v>115</v>
      </c>
      <c r="H7" s="16">
        <f>COUNTIF(Incidents!D2:D356,G7)</f>
        <v>19</v>
      </c>
    </row>
    <row r="8" spans="1:14">
      <c r="G8" s="15" t="s">
        <v>116</v>
      </c>
      <c r="H8" s="16">
        <f>COUNTIF(Incidents!D2:D356,G8)</f>
        <v>13</v>
      </c>
    </row>
    <row r="9" spans="1:14">
      <c r="G9" s="15" t="s">
        <v>117</v>
      </c>
      <c r="H9" s="16">
        <f>COUNTIF(Incidents!D2:D356,G9)</f>
        <v>12</v>
      </c>
    </row>
    <row r="10" spans="1:14">
      <c r="A10" s="14" t="s">
        <v>131</v>
      </c>
      <c r="B10" s="14" t="s">
        <v>96</v>
      </c>
      <c r="D10" s="14" t="s">
        <v>134</v>
      </c>
      <c r="E10" s="14" t="s">
        <v>96</v>
      </c>
      <c r="G10" s="14" t="s">
        <v>140</v>
      </c>
      <c r="H10" s="14" t="s">
        <v>96</v>
      </c>
      <c r="J10" s="14" t="s">
        <v>152</v>
      </c>
      <c r="K10" s="14" t="s">
        <v>96</v>
      </c>
    </row>
    <row r="11" spans="1:14">
      <c r="A11" s="15" t="s">
        <v>132</v>
      </c>
      <c r="B11" s="16">
        <f>COUNTIF(Incidents!O2:O356,A11)</f>
        <v>99</v>
      </c>
      <c r="D11" s="15" t="s">
        <v>135</v>
      </c>
      <c r="E11" s="16">
        <f>COUNTIF(Incidents!F2:F356,D11)</f>
        <v>2</v>
      </c>
      <c r="G11" s="15" t="s">
        <v>141</v>
      </c>
      <c r="H11" s="16">
        <f>COUNTIF(Incidents!B2:B356,G11)</f>
        <v>120</v>
      </c>
      <c r="J11" s="15" t="s">
        <v>8</v>
      </c>
      <c r="K11" s="16">
        <f>COUNTIF(Incidents!M2:M356,J11)</f>
        <v>62</v>
      </c>
    </row>
    <row r="12" spans="1:14">
      <c r="A12" s="15" t="s">
        <v>133</v>
      </c>
      <c r="B12" s="16">
        <f>COUNTIF(Incidents!O2:O356,A12)</f>
        <v>256</v>
      </c>
      <c r="D12" s="15" t="s">
        <v>136</v>
      </c>
      <c r="E12" s="16">
        <f>COUNTIF(Incidents!F2:F356,D12)</f>
        <v>3</v>
      </c>
      <c r="G12" s="15" t="s">
        <v>142</v>
      </c>
      <c r="H12" s="16">
        <f>COUNTIF(Incidents!B2:B356,G12)</f>
        <v>89</v>
      </c>
      <c r="J12" s="15" t="s">
        <v>22</v>
      </c>
      <c r="K12" s="16">
        <f>COUNTIF(Incidents!M2:M356,J12)</f>
        <v>49</v>
      </c>
    </row>
    <row r="13" spans="1:14">
      <c r="D13" s="15" t="s">
        <v>137</v>
      </c>
      <c r="E13" s="16">
        <f>COUNTIF(Incidents!F2:F356,D13)</f>
        <v>9</v>
      </c>
      <c r="G13" s="15" t="s">
        <v>143</v>
      </c>
      <c r="H13" s="16">
        <f>COUNTIF(Incidents!B2:B356,G13)</f>
        <v>53</v>
      </c>
      <c r="J13" s="15" t="s">
        <v>20</v>
      </c>
      <c r="K13" s="16">
        <f>COUNTIF(Incidents!M2:M356,J13)</f>
        <v>39</v>
      </c>
    </row>
    <row r="14" spans="1:14">
      <c r="D14" s="15" t="s">
        <v>138</v>
      </c>
      <c r="E14" s="16">
        <f>COUNTIF(Incidents!F2:F356,D14)</f>
        <v>9</v>
      </c>
      <c r="G14" s="15" t="s">
        <v>144</v>
      </c>
      <c r="H14" s="16">
        <f>COUNTIF(Incidents!B2:B356,G14)</f>
        <v>29</v>
      </c>
      <c r="J14" s="15" t="s">
        <v>1</v>
      </c>
      <c r="K14" s="16">
        <f>COUNTIF(Incidents!M2:M356,J14)</f>
        <v>23</v>
      </c>
    </row>
    <row r="15" spans="1:14">
      <c r="D15" s="15" t="s">
        <v>139</v>
      </c>
      <c r="E15" s="16">
        <f>COUNTIF(Incidents!F2:F356,D15)</f>
        <v>332</v>
      </c>
      <c r="G15" s="15" t="s">
        <v>145</v>
      </c>
      <c r="H15" s="16">
        <f>COUNTIF(Incidents!B2:B356,G15)</f>
        <v>21</v>
      </c>
      <c r="J15" s="15" t="s">
        <v>14</v>
      </c>
      <c r="K15" s="16">
        <f>COUNTIF(Incidents!M2:M356,J15)</f>
        <v>18</v>
      </c>
    </row>
    <row r="16" spans="1:14">
      <c r="G16" s="15" t="s">
        <v>146</v>
      </c>
      <c r="H16" s="16">
        <f>COUNTIF(Incidents!B2:B356,G16)</f>
        <v>17</v>
      </c>
      <c r="J16" s="15" t="s">
        <v>17</v>
      </c>
      <c r="K16" s="16">
        <f>COUNTIF(Incidents!M2:M356,J16)</f>
        <v>17</v>
      </c>
    </row>
    <row r="17" spans="7:11">
      <c r="G17" s="15" t="s">
        <v>147</v>
      </c>
      <c r="H17" s="16">
        <f>COUNTIF(Incidents!B2:B356,G17)</f>
        <v>14</v>
      </c>
      <c r="J17" s="15" t="s">
        <v>6</v>
      </c>
      <c r="K17" s="16">
        <f>COUNTIF(Incidents!M2:M356,J17)</f>
        <v>16</v>
      </c>
    </row>
    <row r="18" spans="7:11">
      <c r="G18" s="15" t="s">
        <v>148</v>
      </c>
      <c r="H18" s="16">
        <f>COUNTIF(Incidents!B2:B356,G18)</f>
        <v>7</v>
      </c>
      <c r="J18" s="15" t="s">
        <v>11</v>
      </c>
      <c r="K18" s="16">
        <f>COUNTIF(Incidents!M2:M356,J18)</f>
        <v>16</v>
      </c>
    </row>
    <row r="19" spans="7:11">
      <c r="G19" s="15" t="s">
        <v>149</v>
      </c>
      <c r="H19" s="16">
        <f>COUNTIF(Incidents!B2:B356,G19)</f>
        <v>2</v>
      </c>
      <c r="J19" s="15" t="s">
        <v>3</v>
      </c>
      <c r="K19" s="16">
        <f>COUNTIF(Incidents!M2:M356,J19)</f>
        <v>14</v>
      </c>
    </row>
    <row r="20" spans="7:11">
      <c r="G20" s="15" t="s">
        <v>150</v>
      </c>
      <c r="H20" s="16">
        <f>COUNTIF(Incidents!B2:B356,G20)</f>
        <v>2</v>
      </c>
      <c r="J20" s="15" t="s">
        <v>18</v>
      </c>
      <c r="K20" s="16">
        <f>COUNTIF(Incidents!M2:M356,J20)</f>
        <v>13</v>
      </c>
    </row>
    <row r="21" spans="7:11">
      <c r="G21" s="15" t="s">
        <v>151</v>
      </c>
      <c r="H21" s="16">
        <f>COUNTIF(Incidents!B2:B356,G21)</f>
        <v>1</v>
      </c>
      <c r="J21" s="15" t="s">
        <v>10</v>
      </c>
      <c r="K21" s="16">
        <f>COUNTIF(Incidents!M2:M356,J21)</f>
        <v>11</v>
      </c>
    </row>
    <row r="22" spans="7:11">
      <c r="J22" s="15" t="s">
        <v>4</v>
      </c>
      <c r="K22" s="16">
        <f>COUNTIF(Incidents!M2:M356,J22)</f>
        <v>11</v>
      </c>
    </row>
    <row r="23" spans="7:11">
      <c r="J23" s="15" t="s">
        <v>23</v>
      </c>
      <c r="K23" s="16">
        <f>COUNTIF(Incidents!M2:M356,J23)</f>
        <v>7</v>
      </c>
    </row>
    <row r="24" spans="7:11">
      <c r="J24" s="15" t="s">
        <v>7</v>
      </c>
      <c r="K24" s="16">
        <f>COUNTIF(Incidents!M2:M356,J24)</f>
        <v>6</v>
      </c>
    </row>
    <row r="25" spans="7:11">
      <c r="J25" s="15" t="s">
        <v>24</v>
      </c>
      <c r="K25" s="16">
        <f>COUNTIF(Incidents!M2:M356,J25)</f>
        <v>6</v>
      </c>
    </row>
    <row r="26" spans="7:11">
      <c r="J26" s="15" t="s">
        <v>19</v>
      </c>
      <c r="K26" s="16">
        <f>COUNTIF(Incidents!M2:M356,J26)</f>
        <v>5</v>
      </c>
    </row>
    <row r="27" spans="7:11">
      <c r="J27" s="15" t="s">
        <v>25</v>
      </c>
      <c r="K27" s="16">
        <f>COUNTIF(Incidents!M2:M356,J27)</f>
        <v>5</v>
      </c>
    </row>
    <row r="28" spans="7:11">
      <c r="J28" s="15" t="s">
        <v>27</v>
      </c>
      <c r="K28" s="16">
        <f>COUNTIF(Incidents!M2:M356,J28)</f>
        <v>4</v>
      </c>
    </row>
    <row r="29" spans="7:11">
      <c r="J29" s="15" t="s">
        <v>12</v>
      </c>
      <c r="K29" s="16">
        <f>COUNTIF(Incidents!M2:M356,J29)</f>
        <v>3</v>
      </c>
    </row>
    <row r="30" spans="7:11">
      <c r="J30" s="15" t="s">
        <v>2</v>
      </c>
      <c r="K30" s="16">
        <f>COUNTIF(Incidents!M2:M356,J30)</f>
        <v>2</v>
      </c>
    </row>
    <row r="31" spans="7:11">
      <c r="J31" s="15" t="s">
        <v>13</v>
      </c>
      <c r="K31" s="16">
        <f>COUNTIF(Incidents!M2:M356,J31)</f>
        <v>2</v>
      </c>
    </row>
    <row r="32" spans="7:11">
      <c r="J32" s="15" t="s">
        <v>15</v>
      </c>
      <c r="K32" s="16">
        <f>COUNTIF(Incidents!M2:M356,J32)</f>
        <v>2</v>
      </c>
    </row>
    <row r="33" spans="10:11">
      <c r="J33" s="15" t="s">
        <v>16</v>
      </c>
      <c r="K33" s="16">
        <f>COUNTIF(Incidents!M2:M356,J33)</f>
        <v>1</v>
      </c>
    </row>
    <row r="34" spans="10:11">
      <c r="J34" s="15" t="s">
        <v>21</v>
      </c>
      <c r="K34" s="16">
        <f>COUNTIF(Incidents!M2:M356,J34)</f>
        <v>1</v>
      </c>
    </row>
    <row r="35" spans="10:11">
      <c r="J35" s="15" t="s">
        <v>5</v>
      </c>
      <c r="K35" s="16">
        <f>COUNTIF(Incidents!M2:M356,J35)</f>
        <v>1</v>
      </c>
    </row>
    <row r="36" spans="10:11">
      <c r="J36" s="15" t="s">
        <v>26</v>
      </c>
      <c r="K36" s="16">
        <f>COUNTIF(Incidents!M2:M356,J36)</f>
        <v>1</v>
      </c>
    </row>
    <row r="37" spans="10:11">
      <c r="J37" s="15" t="s">
        <v>9</v>
      </c>
      <c r="K37" s="16">
        <f>COUNTIF(Incidents!M2:M356,J37)</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10B981"/>
  </sheetPr>
  <dimension ref="A1:I96"/>
  <sheetViews>
    <sheetView workbookViewId="0">
      <pane ySplit="1" topLeftCell="A2" activePane="bottomLeft" state="frozen"/>
      <selection pane="bottomLeft"/>
    </sheetView>
  </sheetViews>
  <sheetFormatPr defaultRowHeight="15"/>
  <cols>
    <col min="1" max="1" width="12.7109375" customWidth="1"/>
    <col min="2" max="3" width="25.7109375" customWidth="1"/>
    <col min="4" max="4" width="15.7109375" customWidth="1"/>
    <col min="5" max="5" width="20.7109375" customWidth="1"/>
    <col min="6" max="6" width="12.7109375" customWidth="1"/>
    <col min="7" max="7" width="40.7109375" customWidth="1"/>
    <col min="8" max="8" width="30.7109375" customWidth="1"/>
    <col min="9" max="9" width="20.7109375" customWidth="1"/>
  </cols>
  <sheetData>
    <row r="1" spans="1:9">
      <c r="A1" s="3" t="s">
        <v>153</v>
      </c>
      <c r="B1" s="3" t="s">
        <v>154</v>
      </c>
      <c r="C1" s="3" t="s">
        <v>155</v>
      </c>
      <c r="D1" s="3" t="s">
        <v>156</v>
      </c>
      <c r="E1" s="3" t="s">
        <v>157</v>
      </c>
      <c r="F1" s="3" t="s">
        <v>158</v>
      </c>
      <c r="G1" s="3" t="s">
        <v>159</v>
      </c>
      <c r="H1" s="3" t="s">
        <v>160</v>
      </c>
      <c r="I1" s="3" t="s">
        <v>161</v>
      </c>
    </row>
    <row r="2" spans="1:9">
      <c r="A2" s="17" t="s">
        <v>130</v>
      </c>
      <c r="B2" s="17" t="s">
        <v>142</v>
      </c>
      <c r="C2" s="17" t="s">
        <v>40</v>
      </c>
      <c r="D2" s="17" t="s">
        <v>162</v>
      </c>
      <c r="E2" s="17" t="s">
        <v>163</v>
      </c>
      <c r="F2" s="18">
        <v>10</v>
      </c>
      <c r="G2" s="17" t="s">
        <v>164</v>
      </c>
      <c r="H2" s="17"/>
      <c r="I2" s="17"/>
    </row>
    <row r="3" spans="1:9">
      <c r="A3" s="17" t="s">
        <v>130</v>
      </c>
      <c r="B3" s="17" t="s">
        <v>142</v>
      </c>
      <c r="C3" s="17" t="s">
        <v>40</v>
      </c>
      <c r="D3" s="17" t="s">
        <v>162</v>
      </c>
      <c r="E3" s="17" t="s">
        <v>163</v>
      </c>
      <c r="F3" s="18">
        <v>10</v>
      </c>
      <c r="G3" s="17" t="s">
        <v>165</v>
      </c>
      <c r="H3" s="17"/>
      <c r="I3" s="17"/>
    </row>
    <row r="4" spans="1:9">
      <c r="A4" s="17" t="s">
        <v>130</v>
      </c>
      <c r="B4" s="17" t="s">
        <v>142</v>
      </c>
      <c r="C4" s="17" t="s">
        <v>40</v>
      </c>
      <c r="D4" s="17" t="s">
        <v>162</v>
      </c>
      <c r="E4" s="17" t="s">
        <v>163</v>
      </c>
      <c r="F4" s="18">
        <v>10</v>
      </c>
      <c r="G4" s="17" t="s">
        <v>166</v>
      </c>
      <c r="H4" s="17"/>
      <c r="I4" s="17"/>
    </row>
    <row r="5" spans="1:9">
      <c r="A5" s="17" t="s">
        <v>130</v>
      </c>
      <c r="B5" s="17" t="s">
        <v>142</v>
      </c>
      <c r="C5" s="17" t="s">
        <v>167</v>
      </c>
      <c r="D5" s="17"/>
      <c r="E5" s="17" t="s">
        <v>163</v>
      </c>
      <c r="F5" s="17" t="s">
        <v>168</v>
      </c>
      <c r="G5" s="17" t="s">
        <v>169</v>
      </c>
      <c r="H5" s="17"/>
      <c r="I5" s="17"/>
    </row>
    <row r="6" spans="1:9">
      <c r="A6" s="17" t="s">
        <v>130</v>
      </c>
      <c r="B6" s="17" t="s">
        <v>142</v>
      </c>
      <c r="C6" s="17" t="s">
        <v>170</v>
      </c>
      <c r="D6" s="17"/>
      <c r="E6" s="17" t="s">
        <v>163</v>
      </c>
      <c r="F6" s="17" t="s">
        <v>171</v>
      </c>
      <c r="G6" s="17" t="s">
        <v>172</v>
      </c>
      <c r="H6" s="17"/>
      <c r="I6" s="17"/>
    </row>
    <row r="7" spans="1:9">
      <c r="A7" s="17" t="s">
        <v>130</v>
      </c>
      <c r="B7" s="17" t="s">
        <v>142</v>
      </c>
      <c r="C7" s="17" t="s">
        <v>170</v>
      </c>
      <c r="D7" s="17"/>
      <c r="E7" s="17" t="s">
        <v>163</v>
      </c>
      <c r="F7" s="17" t="s">
        <v>171</v>
      </c>
      <c r="G7" s="17" t="s">
        <v>173</v>
      </c>
      <c r="H7" s="17"/>
      <c r="I7" s="17"/>
    </row>
    <row r="8" spans="1:9">
      <c r="A8" s="17" t="s">
        <v>130</v>
      </c>
      <c r="B8" s="17" t="s">
        <v>142</v>
      </c>
      <c r="C8" s="17" t="s">
        <v>174</v>
      </c>
      <c r="D8" s="17"/>
      <c r="E8" s="17" t="s">
        <v>163</v>
      </c>
      <c r="F8" s="17" t="s">
        <v>171</v>
      </c>
      <c r="G8" s="17"/>
      <c r="H8" s="17"/>
      <c r="I8" s="17"/>
    </row>
    <row r="9" spans="1:9">
      <c r="A9" s="17" t="s">
        <v>130</v>
      </c>
      <c r="B9" s="17" t="s">
        <v>142</v>
      </c>
      <c r="C9" s="17" t="s">
        <v>61</v>
      </c>
      <c r="D9" s="17"/>
      <c r="E9" s="17" t="s">
        <v>163</v>
      </c>
      <c r="F9" s="17" t="s">
        <v>171</v>
      </c>
      <c r="G9" s="17" t="s">
        <v>175</v>
      </c>
      <c r="H9" s="17"/>
      <c r="I9" s="17"/>
    </row>
    <row r="10" spans="1:9">
      <c r="A10" s="17" t="s">
        <v>130</v>
      </c>
      <c r="B10" s="17" t="s">
        <v>142</v>
      </c>
      <c r="C10" s="17" t="s">
        <v>61</v>
      </c>
      <c r="D10" s="17"/>
      <c r="E10" s="17" t="s">
        <v>163</v>
      </c>
      <c r="F10" s="17" t="s">
        <v>171</v>
      </c>
      <c r="G10" s="17" t="s">
        <v>176</v>
      </c>
      <c r="H10" s="17"/>
      <c r="I10" s="17"/>
    </row>
    <row r="11" spans="1:9">
      <c r="A11" s="17" t="s">
        <v>130</v>
      </c>
      <c r="B11" s="17" t="s">
        <v>142</v>
      </c>
      <c r="C11" s="17" t="s">
        <v>61</v>
      </c>
      <c r="D11" s="17"/>
      <c r="E11" s="17" t="s">
        <v>163</v>
      </c>
      <c r="F11" s="17" t="s">
        <v>171</v>
      </c>
      <c r="G11" s="17" t="s">
        <v>177</v>
      </c>
      <c r="H11" s="17"/>
      <c r="I11" s="17"/>
    </row>
    <row r="12" spans="1:9">
      <c r="A12" s="17" t="s">
        <v>130</v>
      </c>
      <c r="B12" s="17" t="s">
        <v>142</v>
      </c>
      <c r="C12" s="17" t="s">
        <v>64</v>
      </c>
      <c r="D12" s="17"/>
      <c r="E12" s="17" t="s">
        <v>178</v>
      </c>
      <c r="F12" s="17" t="s">
        <v>179</v>
      </c>
      <c r="G12" s="17" t="s">
        <v>180</v>
      </c>
      <c r="H12" s="17"/>
      <c r="I12" s="17"/>
    </row>
    <row r="13" spans="1:9">
      <c r="A13" s="17" t="s">
        <v>130</v>
      </c>
      <c r="B13" s="17" t="s">
        <v>142</v>
      </c>
      <c r="C13" s="17" t="s">
        <v>181</v>
      </c>
      <c r="D13" s="17"/>
      <c r="E13" s="17" t="s">
        <v>178</v>
      </c>
      <c r="F13" s="17" t="s">
        <v>179</v>
      </c>
      <c r="G13" s="17" t="s">
        <v>182</v>
      </c>
      <c r="H13" s="17"/>
      <c r="I13" s="17"/>
    </row>
    <row r="14" spans="1:9">
      <c r="A14" s="17" t="s">
        <v>130</v>
      </c>
      <c r="B14" s="17" t="s">
        <v>142</v>
      </c>
      <c r="C14" s="17" t="s">
        <v>181</v>
      </c>
      <c r="D14" s="17"/>
      <c r="E14" s="17" t="s">
        <v>178</v>
      </c>
      <c r="F14" s="17" t="s">
        <v>179</v>
      </c>
      <c r="G14" s="17" t="s">
        <v>183</v>
      </c>
      <c r="H14" s="17"/>
      <c r="I14" s="17"/>
    </row>
    <row r="15" spans="1:9">
      <c r="A15" s="17" t="s">
        <v>130</v>
      </c>
      <c r="B15" s="17" t="s">
        <v>142</v>
      </c>
      <c r="C15" s="17" t="s">
        <v>32</v>
      </c>
      <c r="D15" s="17"/>
      <c r="E15" s="17" t="s">
        <v>178</v>
      </c>
      <c r="F15" s="17" t="s">
        <v>184</v>
      </c>
      <c r="G15" s="17" t="s">
        <v>185</v>
      </c>
      <c r="H15" s="17"/>
      <c r="I15" s="17"/>
    </row>
    <row r="16" spans="1:9">
      <c r="A16" s="17" t="s">
        <v>130</v>
      </c>
      <c r="B16" s="17" t="s">
        <v>142</v>
      </c>
      <c r="C16" s="17" t="s">
        <v>37</v>
      </c>
      <c r="D16" s="17"/>
      <c r="E16" s="17" t="s">
        <v>186</v>
      </c>
      <c r="F16" s="17" t="s">
        <v>184</v>
      </c>
      <c r="G16" s="17"/>
      <c r="H16" s="17"/>
      <c r="I16" s="17"/>
    </row>
    <row r="17" spans="1:9">
      <c r="A17" s="17" t="s">
        <v>130</v>
      </c>
      <c r="B17" s="17" t="s">
        <v>142</v>
      </c>
      <c r="C17" s="17" t="s">
        <v>187</v>
      </c>
      <c r="D17" s="17"/>
      <c r="E17" s="17" t="s">
        <v>163</v>
      </c>
      <c r="F17" s="17" t="s">
        <v>184</v>
      </c>
      <c r="G17" s="17" t="s">
        <v>188</v>
      </c>
      <c r="H17" s="17"/>
      <c r="I17" s="17"/>
    </row>
    <row r="18" spans="1:9">
      <c r="A18" s="17" t="s">
        <v>130</v>
      </c>
      <c r="B18" s="17" t="s">
        <v>142</v>
      </c>
      <c r="C18" s="17" t="s">
        <v>187</v>
      </c>
      <c r="D18" s="17"/>
      <c r="E18" s="17" t="s">
        <v>163</v>
      </c>
      <c r="F18" s="17" t="s">
        <v>184</v>
      </c>
      <c r="G18" s="17" t="s">
        <v>189</v>
      </c>
      <c r="H18" s="17"/>
      <c r="I18" s="17"/>
    </row>
    <row r="19" spans="1:9">
      <c r="A19" s="17" t="s">
        <v>130</v>
      </c>
      <c r="B19" s="17" t="s">
        <v>142</v>
      </c>
      <c r="C19" s="17" t="s">
        <v>190</v>
      </c>
      <c r="D19" s="17"/>
      <c r="E19" s="17" t="s">
        <v>163</v>
      </c>
      <c r="F19" s="17" t="s">
        <v>184</v>
      </c>
      <c r="G19" s="17"/>
      <c r="H19" s="17" t="s">
        <v>191</v>
      </c>
      <c r="I19" s="17"/>
    </row>
    <row r="20" spans="1:9">
      <c r="A20" s="17" t="s">
        <v>130</v>
      </c>
      <c r="B20" s="17" t="s">
        <v>142</v>
      </c>
      <c r="C20" s="17" t="s">
        <v>192</v>
      </c>
      <c r="D20" s="17"/>
      <c r="E20" s="17" t="s">
        <v>178</v>
      </c>
      <c r="F20" s="17" t="s">
        <v>184</v>
      </c>
      <c r="G20" s="17" t="s">
        <v>193</v>
      </c>
      <c r="H20" s="17"/>
      <c r="I20" s="17"/>
    </row>
    <row r="21" spans="1:9">
      <c r="A21" s="17" t="s">
        <v>130</v>
      </c>
      <c r="B21" s="17" t="s">
        <v>142</v>
      </c>
      <c r="C21" s="17" t="s">
        <v>63</v>
      </c>
      <c r="D21" s="17"/>
      <c r="E21" s="17" t="s">
        <v>178</v>
      </c>
      <c r="F21" s="17" t="s">
        <v>184</v>
      </c>
      <c r="G21" s="17" t="s">
        <v>194</v>
      </c>
      <c r="H21" s="17"/>
      <c r="I21" s="17"/>
    </row>
    <row r="22" spans="1:9">
      <c r="A22" s="17" t="s">
        <v>130</v>
      </c>
      <c r="B22" s="17" t="s">
        <v>142</v>
      </c>
      <c r="C22" s="17" t="s">
        <v>195</v>
      </c>
      <c r="D22" s="17"/>
      <c r="E22" s="17" t="s">
        <v>163</v>
      </c>
      <c r="F22" s="17" t="s">
        <v>196</v>
      </c>
      <c r="G22" s="17"/>
      <c r="H22" s="17"/>
      <c r="I22" s="17"/>
    </row>
    <row r="23" spans="1:9">
      <c r="A23" s="17" t="s">
        <v>130</v>
      </c>
      <c r="B23" s="17" t="s">
        <v>142</v>
      </c>
      <c r="C23" s="17" t="s">
        <v>52</v>
      </c>
      <c r="D23" s="17"/>
      <c r="E23" s="17" t="s">
        <v>163</v>
      </c>
      <c r="F23" s="17" t="s">
        <v>196</v>
      </c>
      <c r="G23" s="17" t="s">
        <v>197</v>
      </c>
      <c r="H23" s="17"/>
      <c r="I23" s="17"/>
    </row>
    <row r="24" spans="1:9">
      <c r="A24" s="17" t="s">
        <v>130</v>
      </c>
      <c r="B24" s="17" t="s">
        <v>142</v>
      </c>
      <c r="C24" s="17" t="s">
        <v>198</v>
      </c>
      <c r="D24" s="17"/>
      <c r="E24" s="17" t="s">
        <v>163</v>
      </c>
      <c r="F24" s="17" t="s">
        <v>196</v>
      </c>
      <c r="G24" s="17"/>
      <c r="H24" s="17"/>
      <c r="I24" s="17"/>
    </row>
    <row r="25" spans="1:9">
      <c r="A25" s="17" t="s">
        <v>129</v>
      </c>
      <c r="B25" s="17" t="s">
        <v>148</v>
      </c>
      <c r="C25" s="17" t="s">
        <v>199</v>
      </c>
      <c r="D25" s="17"/>
      <c r="E25" s="17" t="s">
        <v>163</v>
      </c>
      <c r="F25" s="17" t="s">
        <v>200</v>
      </c>
      <c r="G25" s="17" t="s">
        <v>201</v>
      </c>
      <c r="H25" s="17"/>
      <c r="I25" s="17"/>
    </row>
    <row r="26" spans="1:9">
      <c r="A26" s="17" t="s">
        <v>129</v>
      </c>
      <c r="B26" s="17" t="s">
        <v>141</v>
      </c>
      <c r="C26" s="17" t="s">
        <v>34</v>
      </c>
      <c r="D26" s="17"/>
      <c r="E26" s="17" t="s">
        <v>163</v>
      </c>
      <c r="F26" s="17" t="s">
        <v>202</v>
      </c>
      <c r="G26" s="17"/>
      <c r="H26" s="17"/>
      <c r="I26" s="17"/>
    </row>
    <row r="27" spans="1:9">
      <c r="A27" s="17" t="s">
        <v>129</v>
      </c>
      <c r="B27" s="17" t="s">
        <v>141</v>
      </c>
      <c r="C27" s="17" t="s">
        <v>203</v>
      </c>
      <c r="D27" s="17"/>
      <c r="E27" s="17" t="s">
        <v>163</v>
      </c>
      <c r="F27" s="17" t="s">
        <v>202</v>
      </c>
      <c r="G27" s="17" t="s">
        <v>204</v>
      </c>
      <c r="H27" s="17"/>
      <c r="I27" s="17"/>
    </row>
    <row r="28" spans="1:9">
      <c r="A28" s="17" t="s">
        <v>129</v>
      </c>
      <c r="B28" s="17" t="s">
        <v>141</v>
      </c>
      <c r="C28" s="17" t="s">
        <v>38</v>
      </c>
      <c r="D28" s="17"/>
      <c r="E28" s="17" t="s">
        <v>163</v>
      </c>
      <c r="F28" s="17" t="s">
        <v>202</v>
      </c>
      <c r="G28" s="17" t="s">
        <v>205</v>
      </c>
      <c r="H28" s="17"/>
      <c r="I28" s="17"/>
    </row>
    <row r="29" spans="1:9">
      <c r="A29" s="17" t="s">
        <v>129</v>
      </c>
      <c r="B29" s="17" t="s">
        <v>141</v>
      </c>
      <c r="C29" s="17" t="s">
        <v>38</v>
      </c>
      <c r="D29" s="17"/>
      <c r="E29" s="17" t="s">
        <v>163</v>
      </c>
      <c r="F29" s="17" t="s">
        <v>202</v>
      </c>
      <c r="G29" s="17" t="s">
        <v>206</v>
      </c>
      <c r="H29" s="17"/>
      <c r="I29" s="17"/>
    </row>
    <row r="30" spans="1:9">
      <c r="A30" s="17" t="s">
        <v>129</v>
      </c>
      <c r="B30" s="17" t="s">
        <v>141</v>
      </c>
      <c r="C30" s="17" t="s">
        <v>38</v>
      </c>
      <c r="D30" s="17"/>
      <c r="E30" s="17" t="s">
        <v>163</v>
      </c>
      <c r="F30" s="17" t="s">
        <v>202</v>
      </c>
      <c r="G30" s="17" t="s">
        <v>207</v>
      </c>
      <c r="H30" s="17"/>
      <c r="I30" s="17"/>
    </row>
    <row r="31" spans="1:9">
      <c r="A31" s="17" t="s">
        <v>129</v>
      </c>
      <c r="B31" s="17" t="s">
        <v>141</v>
      </c>
      <c r="C31" s="17" t="s">
        <v>38</v>
      </c>
      <c r="D31" s="17"/>
      <c r="E31" s="17" t="s">
        <v>163</v>
      </c>
      <c r="F31" s="17" t="s">
        <v>202</v>
      </c>
      <c r="G31" s="17" t="s">
        <v>208</v>
      </c>
      <c r="H31" s="17"/>
      <c r="I31" s="17"/>
    </row>
    <row r="32" spans="1:9">
      <c r="A32" s="17" t="s">
        <v>129</v>
      </c>
      <c r="B32" s="17" t="s">
        <v>141</v>
      </c>
      <c r="C32" s="17" t="s">
        <v>38</v>
      </c>
      <c r="D32" s="17"/>
      <c r="E32" s="17" t="s">
        <v>163</v>
      </c>
      <c r="F32" s="17" t="s">
        <v>202</v>
      </c>
      <c r="G32" s="17" t="s">
        <v>209</v>
      </c>
      <c r="H32" s="17"/>
      <c r="I32" s="17"/>
    </row>
    <row r="33" spans="1:9">
      <c r="A33" s="17" t="s">
        <v>129</v>
      </c>
      <c r="B33" s="17" t="s">
        <v>141</v>
      </c>
      <c r="C33" s="17" t="s">
        <v>51</v>
      </c>
      <c r="D33" s="17"/>
      <c r="E33" s="17" t="s">
        <v>163</v>
      </c>
      <c r="F33" s="17" t="s">
        <v>202</v>
      </c>
      <c r="G33" s="17" t="s">
        <v>210</v>
      </c>
      <c r="H33" s="17"/>
      <c r="I33" s="17"/>
    </row>
    <row r="34" spans="1:9">
      <c r="A34" s="17" t="s">
        <v>129</v>
      </c>
      <c r="B34" s="17" t="s">
        <v>141</v>
      </c>
      <c r="C34" s="17" t="s">
        <v>51</v>
      </c>
      <c r="D34" s="17"/>
      <c r="E34" s="17" t="s">
        <v>163</v>
      </c>
      <c r="F34" s="17" t="s">
        <v>202</v>
      </c>
      <c r="G34" s="17" t="s">
        <v>211</v>
      </c>
      <c r="H34" s="17"/>
      <c r="I34" s="17"/>
    </row>
    <row r="35" spans="1:9">
      <c r="A35" s="17" t="s">
        <v>129</v>
      </c>
      <c r="B35" s="17" t="s">
        <v>141</v>
      </c>
      <c r="C35" s="17" t="s">
        <v>51</v>
      </c>
      <c r="D35" s="17"/>
      <c r="E35" s="17" t="s">
        <v>163</v>
      </c>
      <c r="F35" s="17" t="s">
        <v>202</v>
      </c>
      <c r="G35" s="17" t="s">
        <v>212</v>
      </c>
      <c r="H35" s="17"/>
      <c r="I35" s="17"/>
    </row>
    <row r="36" spans="1:9">
      <c r="A36" s="17" t="s">
        <v>129</v>
      </c>
      <c r="B36" s="17" t="s">
        <v>141</v>
      </c>
      <c r="C36" s="17" t="s">
        <v>51</v>
      </c>
      <c r="D36" s="17"/>
      <c r="E36" s="17" t="s">
        <v>163</v>
      </c>
      <c r="F36" s="17" t="s">
        <v>202</v>
      </c>
      <c r="G36" s="17" t="s">
        <v>213</v>
      </c>
      <c r="H36" s="17"/>
      <c r="I36" s="17"/>
    </row>
    <row r="37" spans="1:9">
      <c r="A37" s="17" t="s">
        <v>129</v>
      </c>
      <c r="B37" s="17" t="s">
        <v>141</v>
      </c>
      <c r="C37" s="17" t="s">
        <v>57</v>
      </c>
      <c r="D37" s="17"/>
      <c r="E37" s="17" t="s">
        <v>163</v>
      </c>
      <c r="F37" s="17" t="s">
        <v>202</v>
      </c>
      <c r="G37" s="17" t="s">
        <v>214</v>
      </c>
      <c r="H37" s="17"/>
      <c r="I37" s="17"/>
    </row>
    <row r="38" spans="1:9">
      <c r="A38" s="17" t="s">
        <v>129</v>
      </c>
      <c r="B38" s="17" t="s">
        <v>141</v>
      </c>
      <c r="C38" s="17" t="s">
        <v>57</v>
      </c>
      <c r="D38" s="17"/>
      <c r="E38" s="17" t="s">
        <v>163</v>
      </c>
      <c r="F38" s="17" t="s">
        <v>202</v>
      </c>
      <c r="G38" s="17" t="s">
        <v>215</v>
      </c>
      <c r="H38" s="17"/>
      <c r="I38" s="17"/>
    </row>
    <row r="39" spans="1:9">
      <c r="A39" s="17" t="s">
        <v>129</v>
      </c>
      <c r="B39" s="17" t="s">
        <v>141</v>
      </c>
      <c r="C39" s="17" t="s">
        <v>66</v>
      </c>
      <c r="D39" s="17"/>
      <c r="E39" s="17" t="s">
        <v>163</v>
      </c>
      <c r="F39" s="17" t="s">
        <v>216</v>
      </c>
      <c r="G39" s="17" t="s">
        <v>217</v>
      </c>
      <c r="H39" s="17"/>
      <c r="I39" s="17"/>
    </row>
    <row r="40" spans="1:9">
      <c r="A40" s="17" t="s">
        <v>129</v>
      </c>
      <c r="B40" s="17" t="s">
        <v>141</v>
      </c>
      <c r="C40" s="17" t="s">
        <v>66</v>
      </c>
      <c r="D40" s="17"/>
      <c r="E40" s="17" t="s">
        <v>163</v>
      </c>
      <c r="F40" s="17" t="s">
        <v>216</v>
      </c>
      <c r="G40" s="17" t="s">
        <v>218</v>
      </c>
      <c r="H40" s="17"/>
      <c r="I40" s="17"/>
    </row>
    <row r="41" spans="1:9">
      <c r="A41" s="17" t="s">
        <v>129</v>
      </c>
      <c r="B41" s="17" t="s">
        <v>141</v>
      </c>
      <c r="C41" s="17" t="s">
        <v>66</v>
      </c>
      <c r="D41" s="17"/>
      <c r="E41" s="17" t="s">
        <v>163</v>
      </c>
      <c r="F41" s="17" t="s">
        <v>216</v>
      </c>
      <c r="G41" s="17" t="s">
        <v>219</v>
      </c>
      <c r="H41" s="17"/>
      <c r="I41" s="17"/>
    </row>
    <row r="42" spans="1:9">
      <c r="A42" s="17" t="s">
        <v>129</v>
      </c>
      <c r="B42" s="17" t="s">
        <v>141</v>
      </c>
      <c r="C42" s="17" t="s">
        <v>66</v>
      </c>
      <c r="D42" s="17"/>
      <c r="E42" s="17" t="s">
        <v>163</v>
      </c>
      <c r="F42" s="17" t="s">
        <v>216</v>
      </c>
      <c r="G42" s="17" t="s">
        <v>220</v>
      </c>
      <c r="H42" s="17"/>
      <c r="I42" s="17"/>
    </row>
    <row r="43" spans="1:9">
      <c r="A43" s="17" t="s">
        <v>129</v>
      </c>
      <c r="B43" s="17" t="s">
        <v>141</v>
      </c>
      <c r="C43" s="17" t="s">
        <v>70</v>
      </c>
      <c r="D43" s="17"/>
      <c r="E43" s="17" t="s">
        <v>163</v>
      </c>
      <c r="F43" s="17" t="s">
        <v>221</v>
      </c>
      <c r="G43" s="17" t="s">
        <v>222</v>
      </c>
      <c r="H43" s="17"/>
      <c r="I43" s="17"/>
    </row>
    <row r="44" spans="1:9">
      <c r="A44" s="17" t="s">
        <v>129</v>
      </c>
      <c r="B44" s="17" t="s">
        <v>141</v>
      </c>
      <c r="C44" s="17" t="s">
        <v>70</v>
      </c>
      <c r="D44" s="17"/>
      <c r="E44" s="17" t="s">
        <v>163</v>
      </c>
      <c r="F44" s="17" t="s">
        <v>221</v>
      </c>
      <c r="G44" s="17" t="s">
        <v>223</v>
      </c>
      <c r="H44" s="17"/>
      <c r="I44" s="17"/>
    </row>
    <row r="45" spans="1:9">
      <c r="A45" s="17" t="s">
        <v>129</v>
      </c>
      <c r="B45" s="17" t="s">
        <v>141</v>
      </c>
      <c r="C45" s="17" t="s">
        <v>70</v>
      </c>
      <c r="D45" s="17"/>
      <c r="E45" s="17" t="s">
        <v>163</v>
      </c>
      <c r="F45" s="17" t="s">
        <v>221</v>
      </c>
      <c r="G45" s="17" t="s">
        <v>224</v>
      </c>
      <c r="H45" s="17"/>
      <c r="I45" s="17"/>
    </row>
    <row r="46" spans="1:9">
      <c r="A46" s="17" t="s">
        <v>129</v>
      </c>
      <c r="B46" s="17" t="s">
        <v>141</v>
      </c>
      <c r="C46" s="17" t="s">
        <v>225</v>
      </c>
      <c r="D46" s="17"/>
      <c r="E46" s="17" t="s">
        <v>163</v>
      </c>
      <c r="F46" s="17" t="s">
        <v>226</v>
      </c>
      <c r="G46" s="17"/>
      <c r="H46" s="17"/>
      <c r="I46" s="17"/>
    </row>
    <row r="47" spans="1:9">
      <c r="A47" s="17" t="s">
        <v>129</v>
      </c>
      <c r="B47" s="17" t="s">
        <v>141</v>
      </c>
      <c r="C47" s="17" t="s">
        <v>227</v>
      </c>
      <c r="D47" s="17"/>
      <c r="E47" s="17" t="s">
        <v>163</v>
      </c>
      <c r="F47" s="17" t="s">
        <v>226</v>
      </c>
      <c r="G47" s="17" t="s">
        <v>228</v>
      </c>
      <c r="H47" s="17"/>
      <c r="I47" s="17" t="s">
        <v>229</v>
      </c>
    </row>
    <row r="48" spans="1:9">
      <c r="A48" s="17" t="s">
        <v>129</v>
      </c>
      <c r="B48" s="17" t="s">
        <v>141</v>
      </c>
      <c r="C48" s="17" t="s">
        <v>46</v>
      </c>
      <c r="D48" s="17"/>
      <c r="E48" s="17" t="s">
        <v>163</v>
      </c>
      <c r="F48" s="17" t="s">
        <v>202</v>
      </c>
      <c r="G48" s="17" t="s">
        <v>230</v>
      </c>
      <c r="H48" s="17"/>
      <c r="I48" s="17"/>
    </row>
    <row r="49" spans="1:9">
      <c r="A49" s="17" t="s">
        <v>129</v>
      </c>
      <c r="B49" s="17" t="s">
        <v>141</v>
      </c>
      <c r="C49" s="17" t="s">
        <v>46</v>
      </c>
      <c r="D49" s="17"/>
      <c r="E49" s="17" t="s">
        <v>163</v>
      </c>
      <c r="F49" s="17" t="s">
        <v>202</v>
      </c>
      <c r="G49" s="17" t="s">
        <v>231</v>
      </c>
      <c r="H49" s="17"/>
      <c r="I49" s="17"/>
    </row>
    <row r="50" spans="1:9">
      <c r="A50" s="17" t="s">
        <v>129</v>
      </c>
      <c r="B50" s="17" t="s">
        <v>141</v>
      </c>
      <c r="C50" s="17" t="s">
        <v>46</v>
      </c>
      <c r="D50" s="17"/>
      <c r="E50" s="17" t="s">
        <v>163</v>
      </c>
      <c r="F50" s="17" t="s">
        <v>202</v>
      </c>
      <c r="G50" s="17" t="s">
        <v>232</v>
      </c>
      <c r="H50" s="17"/>
      <c r="I50" s="17"/>
    </row>
    <row r="51" spans="1:9">
      <c r="A51" s="17" t="s">
        <v>129</v>
      </c>
      <c r="B51" s="17" t="s">
        <v>141</v>
      </c>
      <c r="C51" s="17" t="s">
        <v>46</v>
      </c>
      <c r="D51" s="17"/>
      <c r="E51" s="17" t="s">
        <v>163</v>
      </c>
      <c r="F51" s="17" t="s">
        <v>233</v>
      </c>
      <c r="G51" s="17" t="s">
        <v>234</v>
      </c>
      <c r="H51" s="17"/>
      <c r="I51" s="17"/>
    </row>
    <row r="52" spans="1:9">
      <c r="A52" s="17" t="s">
        <v>129</v>
      </c>
      <c r="B52" s="17" t="s">
        <v>141</v>
      </c>
      <c r="C52" s="17" t="s">
        <v>46</v>
      </c>
      <c r="D52" s="17"/>
      <c r="E52" s="17" t="s">
        <v>163</v>
      </c>
      <c r="F52" s="17" t="s">
        <v>233</v>
      </c>
      <c r="G52" s="17" t="s">
        <v>235</v>
      </c>
      <c r="H52" s="17"/>
      <c r="I52" s="17"/>
    </row>
    <row r="53" spans="1:9">
      <c r="A53" s="17" t="s">
        <v>129</v>
      </c>
      <c r="B53" s="17" t="s">
        <v>141</v>
      </c>
      <c r="C53" s="17" t="s">
        <v>46</v>
      </c>
      <c r="D53" s="17"/>
      <c r="E53" s="17" t="s">
        <v>163</v>
      </c>
      <c r="F53" s="17" t="s">
        <v>233</v>
      </c>
      <c r="G53" s="17" t="s">
        <v>236</v>
      </c>
      <c r="H53" s="17"/>
      <c r="I53" s="17"/>
    </row>
    <row r="54" spans="1:9">
      <c r="A54" s="17" t="s">
        <v>129</v>
      </c>
      <c r="B54" s="17" t="s">
        <v>141</v>
      </c>
      <c r="C54" s="17" t="s">
        <v>46</v>
      </c>
      <c r="D54" s="17"/>
      <c r="E54" s="17" t="s">
        <v>163</v>
      </c>
      <c r="F54" s="17" t="s">
        <v>233</v>
      </c>
      <c r="G54" s="17" t="s">
        <v>237</v>
      </c>
      <c r="H54" s="17"/>
      <c r="I54" s="17"/>
    </row>
    <row r="55" spans="1:9">
      <c r="A55" s="17" t="s">
        <v>129</v>
      </c>
      <c r="B55" s="17" t="s">
        <v>141</v>
      </c>
      <c r="C55" s="17" t="s">
        <v>46</v>
      </c>
      <c r="D55" s="17"/>
      <c r="E55" s="17" t="s">
        <v>163</v>
      </c>
      <c r="F55" s="17" t="s">
        <v>233</v>
      </c>
      <c r="G55" s="17" t="s">
        <v>238</v>
      </c>
      <c r="H55" s="17"/>
      <c r="I55" s="17"/>
    </row>
    <row r="56" spans="1:9">
      <c r="A56" s="17" t="s">
        <v>129</v>
      </c>
      <c r="B56" s="17" t="s">
        <v>141</v>
      </c>
      <c r="C56" s="17" t="s">
        <v>46</v>
      </c>
      <c r="D56" s="17"/>
      <c r="E56" s="17" t="s">
        <v>163</v>
      </c>
      <c r="F56" s="17" t="s">
        <v>233</v>
      </c>
      <c r="G56" s="17" t="s">
        <v>239</v>
      </c>
      <c r="H56" s="17"/>
      <c r="I56" s="17"/>
    </row>
    <row r="57" spans="1:9">
      <c r="A57" s="17" t="s">
        <v>129</v>
      </c>
      <c r="B57" s="17" t="s">
        <v>141</v>
      </c>
      <c r="C57" s="17" t="s">
        <v>59</v>
      </c>
      <c r="D57" s="17"/>
      <c r="E57" s="17" t="s">
        <v>163</v>
      </c>
      <c r="F57" s="17" t="s">
        <v>240</v>
      </c>
      <c r="G57" s="17"/>
      <c r="H57" s="17"/>
      <c r="I57" s="17"/>
    </row>
    <row r="58" spans="1:9">
      <c r="A58" s="17" t="s">
        <v>129</v>
      </c>
      <c r="B58" s="17" t="s">
        <v>141</v>
      </c>
      <c r="C58" s="17" t="s">
        <v>39</v>
      </c>
      <c r="D58" s="17"/>
      <c r="E58" s="17" t="s">
        <v>163</v>
      </c>
      <c r="F58" s="17" t="s">
        <v>241</v>
      </c>
      <c r="G58" s="17" t="s">
        <v>242</v>
      </c>
      <c r="H58" s="17"/>
      <c r="I58" s="17" t="s">
        <v>243</v>
      </c>
    </row>
    <row r="59" spans="1:9">
      <c r="A59" s="17" t="s">
        <v>129</v>
      </c>
      <c r="B59" s="17" t="s">
        <v>141</v>
      </c>
      <c r="C59" s="17" t="s">
        <v>39</v>
      </c>
      <c r="D59" s="17"/>
      <c r="E59" s="17" t="s">
        <v>163</v>
      </c>
      <c r="F59" s="17" t="s">
        <v>241</v>
      </c>
      <c r="G59" s="17" t="s">
        <v>244</v>
      </c>
      <c r="H59" s="17"/>
      <c r="I59" s="17"/>
    </row>
    <row r="60" spans="1:9">
      <c r="A60" s="17" t="s">
        <v>129</v>
      </c>
      <c r="B60" s="17" t="s">
        <v>141</v>
      </c>
      <c r="C60" s="17" t="s">
        <v>39</v>
      </c>
      <c r="D60" s="17"/>
      <c r="E60" s="17" t="s">
        <v>163</v>
      </c>
      <c r="F60" s="17" t="s">
        <v>241</v>
      </c>
      <c r="G60" s="17" t="s">
        <v>245</v>
      </c>
      <c r="H60" s="17"/>
      <c r="I60" s="17"/>
    </row>
    <row r="61" spans="1:9">
      <c r="A61" s="17" t="s">
        <v>129</v>
      </c>
      <c r="B61" s="17" t="s">
        <v>141</v>
      </c>
      <c r="C61" s="17" t="s">
        <v>69</v>
      </c>
      <c r="D61" s="17"/>
      <c r="E61" s="17" t="s">
        <v>163</v>
      </c>
      <c r="F61" s="17" t="s">
        <v>241</v>
      </c>
      <c r="G61" s="17"/>
      <c r="H61" s="17"/>
      <c r="I61" s="17"/>
    </row>
    <row r="62" spans="1:9">
      <c r="A62" s="17" t="s">
        <v>129</v>
      </c>
      <c r="B62" s="17" t="s">
        <v>147</v>
      </c>
      <c r="C62" s="17" t="s">
        <v>246</v>
      </c>
      <c r="D62" s="17" t="s">
        <v>162</v>
      </c>
      <c r="E62" s="17" t="s">
        <v>163</v>
      </c>
      <c r="F62" s="17" t="s">
        <v>247</v>
      </c>
      <c r="G62" s="17" t="s">
        <v>248</v>
      </c>
      <c r="H62" s="17"/>
      <c r="I62" s="17"/>
    </row>
    <row r="63" spans="1:9">
      <c r="A63" s="17" t="s">
        <v>129</v>
      </c>
      <c r="B63" s="17" t="s">
        <v>147</v>
      </c>
      <c r="C63" s="17" t="s">
        <v>47</v>
      </c>
      <c r="D63" s="17"/>
      <c r="E63" s="17" t="s">
        <v>163</v>
      </c>
      <c r="F63" s="17" t="s">
        <v>247</v>
      </c>
      <c r="G63" s="17"/>
      <c r="H63" s="17"/>
      <c r="I63" s="17"/>
    </row>
    <row r="64" spans="1:9">
      <c r="A64" s="17" t="s">
        <v>129</v>
      </c>
      <c r="B64" s="17" t="s">
        <v>147</v>
      </c>
      <c r="C64" s="17" t="s">
        <v>249</v>
      </c>
      <c r="D64" s="17"/>
      <c r="E64" s="17" t="s">
        <v>163</v>
      </c>
      <c r="F64" s="17" t="s">
        <v>247</v>
      </c>
      <c r="G64" s="17" t="s">
        <v>250</v>
      </c>
      <c r="H64" s="17"/>
      <c r="I64" s="17"/>
    </row>
    <row r="65" spans="1:9">
      <c r="A65" s="17" t="s">
        <v>129</v>
      </c>
      <c r="B65" s="17" t="s">
        <v>147</v>
      </c>
      <c r="C65" s="17" t="s">
        <v>48</v>
      </c>
      <c r="D65" s="17"/>
      <c r="E65" s="17" t="s">
        <v>163</v>
      </c>
      <c r="F65" s="17" t="s">
        <v>247</v>
      </c>
      <c r="G65" s="17"/>
      <c r="H65" s="17"/>
      <c r="I65" s="17"/>
    </row>
    <row r="66" spans="1:9">
      <c r="A66" s="17" t="s">
        <v>129</v>
      </c>
      <c r="B66" s="17" t="s">
        <v>147</v>
      </c>
      <c r="C66" s="17" t="s">
        <v>251</v>
      </c>
      <c r="D66" s="17"/>
      <c r="E66" s="17" t="s">
        <v>163</v>
      </c>
      <c r="F66" s="17" t="s">
        <v>247</v>
      </c>
      <c r="G66" s="17"/>
      <c r="H66" s="17"/>
      <c r="I66" s="17"/>
    </row>
    <row r="67" spans="1:9">
      <c r="A67" s="17" t="s">
        <v>129</v>
      </c>
      <c r="B67" s="17" t="s">
        <v>143</v>
      </c>
      <c r="C67" s="17" t="s">
        <v>252</v>
      </c>
      <c r="D67" s="17"/>
      <c r="E67" s="17" t="s">
        <v>163</v>
      </c>
      <c r="F67" s="17" t="s">
        <v>253</v>
      </c>
      <c r="G67" s="17"/>
      <c r="H67" s="17"/>
      <c r="I67" s="17"/>
    </row>
    <row r="68" spans="1:9">
      <c r="A68" s="17" t="s">
        <v>129</v>
      </c>
      <c r="B68" s="17" t="s">
        <v>143</v>
      </c>
      <c r="C68" s="17" t="s">
        <v>72</v>
      </c>
      <c r="D68" s="17"/>
      <c r="E68" s="17" t="s">
        <v>163</v>
      </c>
      <c r="F68" s="17" t="s">
        <v>254</v>
      </c>
      <c r="G68" s="17"/>
      <c r="H68" s="17"/>
      <c r="I68" s="17"/>
    </row>
    <row r="69" spans="1:9">
      <c r="A69" s="17" t="s">
        <v>129</v>
      </c>
      <c r="B69" s="17" t="s">
        <v>143</v>
      </c>
      <c r="C69" s="17" t="s">
        <v>35</v>
      </c>
      <c r="D69" s="17"/>
      <c r="E69" s="17" t="s">
        <v>163</v>
      </c>
      <c r="F69" s="17" t="s">
        <v>255</v>
      </c>
      <c r="G69" s="17"/>
      <c r="H69" s="17"/>
      <c r="I69" s="17"/>
    </row>
    <row r="70" spans="1:9">
      <c r="A70" s="17" t="s">
        <v>129</v>
      </c>
      <c r="B70" s="17" t="s">
        <v>145</v>
      </c>
      <c r="C70" s="17" t="s">
        <v>256</v>
      </c>
      <c r="D70" s="17"/>
      <c r="E70" s="17" t="s">
        <v>163</v>
      </c>
      <c r="F70" s="17" t="s">
        <v>257</v>
      </c>
      <c r="G70" s="17"/>
      <c r="H70" s="17"/>
      <c r="I70" s="17"/>
    </row>
    <row r="71" spans="1:9">
      <c r="A71" s="17" t="s">
        <v>129</v>
      </c>
      <c r="B71" s="17" t="s">
        <v>145</v>
      </c>
      <c r="C71" s="17" t="s">
        <v>258</v>
      </c>
      <c r="D71" s="17"/>
      <c r="E71" s="17" t="s">
        <v>163</v>
      </c>
      <c r="F71" s="17" t="s">
        <v>257</v>
      </c>
      <c r="G71" s="17"/>
      <c r="H71" s="17"/>
      <c r="I71" s="17"/>
    </row>
    <row r="72" spans="1:9">
      <c r="A72" s="17" t="s">
        <v>130</v>
      </c>
      <c r="B72" s="17" t="s">
        <v>144</v>
      </c>
      <c r="C72" s="17" t="s">
        <v>28</v>
      </c>
      <c r="D72" s="17" t="s">
        <v>259</v>
      </c>
      <c r="E72" s="17"/>
      <c r="F72" s="17" t="s">
        <v>260</v>
      </c>
      <c r="G72" s="17"/>
      <c r="H72" s="17" t="s">
        <v>261</v>
      </c>
      <c r="I72" s="17"/>
    </row>
    <row r="73" spans="1:9">
      <c r="A73" s="17" t="s">
        <v>130</v>
      </c>
      <c r="B73" s="17" t="s">
        <v>144</v>
      </c>
      <c r="C73" s="17" t="s">
        <v>41</v>
      </c>
      <c r="D73" s="17" t="s">
        <v>259</v>
      </c>
      <c r="E73" s="17"/>
      <c r="F73" s="17" t="s">
        <v>262</v>
      </c>
      <c r="G73" s="17" t="s">
        <v>263</v>
      </c>
      <c r="H73" s="17" t="s">
        <v>264</v>
      </c>
      <c r="I73" s="17"/>
    </row>
    <row r="74" spans="1:9">
      <c r="A74" s="17" t="s">
        <v>130</v>
      </c>
      <c r="B74" s="17" t="s">
        <v>144</v>
      </c>
      <c r="C74" s="17" t="s">
        <v>265</v>
      </c>
      <c r="D74" s="17" t="s">
        <v>259</v>
      </c>
      <c r="E74" s="17"/>
      <c r="F74" s="17" t="s">
        <v>262</v>
      </c>
      <c r="G74" s="17" t="s">
        <v>266</v>
      </c>
      <c r="H74" s="17"/>
      <c r="I74" s="17"/>
    </row>
    <row r="75" spans="1:9">
      <c r="A75" s="17" t="s">
        <v>130</v>
      </c>
      <c r="B75" s="17" t="s">
        <v>144</v>
      </c>
      <c r="C75" s="17" t="s">
        <v>265</v>
      </c>
      <c r="D75" s="17" t="s">
        <v>259</v>
      </c>
      <c r="E75" s="17"/>
      <c r="F75" s="17" t="s">
        <v>262</v>
      </c>
      <c r="G75" s="17" t="s">
        <v>267</v>
      </c>
      <c r="H75" s="17"/>
      <c r="I75" s="17"/>
    </row>
    <row r="76" spans="1:9">
      <c r="A76" s="17" t="s">
        <v>130</v>
      </c>
      <c r="B76" s="17" t="s">
        <v>144</v>
      </c>
      <c r="C76" s="17" t="s">
        <v>265</v>
      </c>
      <c r="D76" s="17" t="s">
        <v>259</v>
      </c>
      <c r="E76" s="17"/>
      <c r="F76" s="17" t="s">
        <v>262</v>
      </c>
      <c r="G76" s="17" t="s">
        <v>268</v>
      </c>
      <c r="H76" s="17"/>
      <c r="I76" s="17"/>
    </row>
    <row r="77" spans="1:9">
      <c r="A77" s="17" t="s">
        <v>129</v>
      </c>
      <c r="B77" s="17" t="s">
        <v>150</v>
      </c>
      <c r="C77" s="17" t="s">
        <v>269</v>
      </c>
      <c r="D77" s="17"/>
      <c r="E77" s="17" t="s">
        <v>163</v>
      </c>
      <c r="F77" s="17" t="s">
        <v>270</v>
      </c>
      <c r="G77" s="17"/>
      <c r="H77" s="17"/>
      <c r="I77" s="17"/>
    </row>
    <row r="78" spans="1:9">
      <c r="A78" s="17" t="s">
        <v>129</v>
      </c>
      <c r="B78" s="17" t="s">
        <v>150</v>
      </c>
      <c r="C78" s="17" t="s">
        <v>271</v>
      </c>
      <c r="D78" s="17"/>
      <c r="E78" s="17" t="s">
        <v>163</v>
      </c>
      <c r="F78" s="17" t="s">
        <v>270</v>
      </c>
      <c r="G78" s="17"/>
      <c r="H78" s="17"/>
      <c r="I78" s="17"/>
    </row>
    <row r="79" spans="1:9">
      <c r="A79" s="17" t="s">
        <v>129</v>
      </c>
      <c r="B79" s="17" t="s">
        <v>150</v>
      </c>
      <c r="C79" s="17" t="s">
        <v>272</v>
      </c>
      <c r="D79" s="17"/>
      <c r="E79" s="17" t="s">
        <v>163</v>
      </c>
      <c r="F79" s="17" t="s">
        <v>270</v>
      </c>
      <c r="G79" s="17"/>
      <c r="H79" s="17"/>
      <c r="I79" s="17"/>
    </row>
    <row r="80" spans="1:9">
      <c r="A80" s="17" t="s">
        <v>129</v>
      </c>
      <c r="B80" s="17" t="s">
        <v>150</v>
      </c>
      <c r="C80" s="17" t="s">
        <v>42</v>
      </c>
      <c r="D80" s="17"/>
      <c r="E80" s="17" t="s">
        <v>163</v>
      </c>
      <c r="F80" s="17" t="s">
        <v>270</v>
      </c>
      <c r="G80" s="17"/>
      <c r="H80" s="17"/>
      <c r="I80" s="17"/>
    </row>
    <row r="81" spans="1:9">
      <c r="A81" s="17" t="s">
        <v>129</v>
      </c>
      <c r="B81" s="17" t="s">
        <v>150</v>
      </c>
      <c r="C81" s="17" t="s">
        <v>273</v>
      </c>
      <c r="D81" s="17"/>
      <c r="E81" s="17" t="s">
        <v>163</v>
      </c>
      <c r="F81" s="17" t="s">
        <v>270</v>
      </c>
      <c r="G81" s="17"/>
      <c r="H81" s="17"/>
      <c r="I81" s="17"/>
    </row>
    <row r="82" spans="1:9">
      <c r="A82" s="17" t="s">
        <v>129</v>
      </c>
      <c r="B82" s="17" t="s">
        <v>274</v>
      </c>
      <c r="C82" s="17" t="s">
        <v>275</v>
      </c>
      <c r="D82" s="17"/>
      <c r="E82" s="17" t="s">
        <v>178</v>
      </c>
      <c r="F82" s="17" t="s">
        <v>276</v>
      </c>
      <c r="G82" s="17"/>
      <c r="H82" s="17"/>
      <c r="I82" s="17"/>
    </row>
    <row r="83" spans="1:9">
      <c r="A83" s="17" t="s">
        <v>129</v>
      </c>
      <c r="B83" s="17" t="s">
        <v>274</v>
      </c>
      <c r="C83" s="17" t="s">
        <v>277</v>
      </c>
      <c r="D83" s="17"/>
      <c r="E83" s="17" t="s">
        <v>178</v>
      </c>
      <c r="F83" s="17" t="s">
        <v>278</v>
      </c>
      <c r="G83" s="17"/>
      <c r="H83" s="17"/>
      <c r="I83" s="17"/>
    </row>
    <row r="84" spans="1:9">
      <c r="A84" s="17" t="s">
        <v>129</v>
      </c>
      <c r="B84" s="17" t="s">
        <v>274</v>
      </c>
      <c r="C84" s="17" t="s">
        <v>279</v>
      </c>
      <c r="D84" s="17"/>
      <c r="E84" s="17" t="s">
        <v>178</v>
      </c>
      <c r="F84" s="17" t="s">
        <v>278</v>
      </c>
      <c r="G84" s="17"/>
      <c r="H84" s="17"/>
      <c r="I84" s="17"/>
    </row>
    <row r="85" spans="1:9">
      <c r="A85" s="17" t="s">
        <v>130</v>
      </c>
      <c r="B85" s="17" t="s">
        <v>142</v>
      </c>
      <c r="C85" s="17" t="s">
        <v>73</v>
      </c>
      <c r="D85" s="17" t="s">
        <v>280</v>
      </c>
      <c r="E85" s="17" t="s">
        <v>186</v>
      </c>
      <c r="F85" s="17" t="s">
        <v>281</v>
      </c>
      <c r="G85" s="17" t="s">
        <v>282</v>
      </c>
      <c r="H85" s="17"/>
      <c r="I85" s="17"/>
    </row>
    <row r="86" spans="1:9">
      <c r="A86" s="17" t="s">
        <v>130</v>
      </c>
      <c r="B86" s="17" t="s">
        <v>142</v>
      </c>
      <c r="C86" s="17" t="s">
        <v>73</v>
      </c>
      <c r="D86" s="17" t="s">
        <v>280</v>
      </c>
      <c r="E86" s="17" t="s">
        <v>186</v>
      </c>
      <c r="F86" s="17" t="s">
        <v>281</v>
      </c>
      <c r="G86" s="17" t="s">
        <v>283</v>
      </c>
      <c r="H86" s="17"/>
      <c r="I86" s="17"/>
    </row>
    <row r="87" spans="1:9">
      <c r="A87" s="17" t="s">
        <v>130</v>
      </c>
      <c r="B87" s="17" t="s">
        <v>142</v>
      </c>
      <c r="C87" s="17" t="s">
        <v>73</v>
      </c>
      <c r="D87" s="17" t="s">
        <v>280</v>
      </c>
      <c r="E87" s="17" t="s">
        <v>186</v>
      </c>
      <c r="F87" s="17" t="s">
        <v>281</v>
      </c>
      <c r="G87" s="17" t="s">
        <v>284</v>
      </c>
      <c r="H87" s="17"/>
      <c r="I87" s="17"/>
    </row>
    <row r="88" spans="1:9">
      <c r="A88" s="17" t="s">
        <v>130</v>
      </c>
      <c r="B88" s="17" t="s">
        <v>142</v>
      </c>
      <c r="C88" s="17" t="s">
        <v>73</v>
      </c>
      <c r="D88" s="17" t="s">
        <v>280</v>
      </c>
      <c r="E88" s="17" t="s">
        <v>186</v>
      </c>
      <c r="F88" s="17" t="s">
        <v>281</v>
      </c>
      <c r="G88" s="17" t="s">
        <v>285</v>
      </c>
      <c r="H88" s="17"/>
      <c r="I88" s="17"/>
    </row>
    <row r="89" spans="1:9">
      <c r="A89" s="17" t="s">
        <v>130</v>
      </c>
      <c r="B89" s="17" t="s">
        <v>142</v>
      </c>
      <c r="C89" s="17" t="s">
        <v>67</v>
      </c>
      <c r="D89" s="17" t="s">
        <v>286</v>
      </c>
      <c r="E89" s="17" t="s">
        <v>178</v>
      </c>
      <c r="F89" s="17" t="s">
        <v>281</v>
      </c>
      <c r="G89" s="17" t="s">
        <v>287</v>
      </c>
      <c r="H89" s="17"/>
      <c r="I89" s="17"/>
    </row>
    <row r="90" spans="1:9">
      <c r="A90" s="17" t="s">
        <v>129</v>
      </c>
      <c r="B90" s="17" t="s">
        <v>146</v>
      </c>
      <c r="C90" s="17" t="s">
        <v>30</v>
      </c>
      <c r="D90" s="17"/>
      <c r="E90" s="17" t="s">
        <v>163</v>
      </c>
      <c r="F90" s="17" t="s">
        <v>288</v>
      </c>
      <c r="G90" s="17" t="s">
        <v>289</v>
      </c>
      <c r="H90" s="17"/>
      <c r="I90" s="17"/>
    </row>
    <row r="91" spans="1:9">
      <c r="A91" s="17" t="s">
        <v>129</v>
      </c>
      <c r="B91" s="17" t="s">
        <v>146</v>
      </c>
      <c r="C91" s="17" t="s">
        <v>290</v>
      </c>
      <c r="D91" s="17"/>
      <c r="E91" s="17" t="s">
        <v>178</v>
      </c>
      <c r="F91" s="17" t="s">
        <v>288</v>
      </c>
      <c r="G91" s="17" t="s">
        <v>291</v>
      </c>
      <c r="H91" s="17"/>
      <c r="I91" s="17"/>
    </row>
    <row r="92" spans="1:9">
      <c r="A92" s="17" t="s">
        <v>129</v>
      </c>
      <c r="B92" s="17" t="s">
        <v>146</v>
      </c>
      <c r="C92" s="17" t="s">
        <v>290</v>
      </c>
      <c r="D92" s="17"/>
      <c r="E92" s="17" t="s">
        <v>178</v>
      </c>
      <c r="F92" s="17" t="s">
        <v>288</v>
      </c>
      <c r="G92" s="17" t="s">
        <v>292</v>
      </c>
      <c r="H92" s="17"/>
      <c r="I92" s="17"/>
    </row>
    <row r="93" spans="1:9">
      <c r="A93" s="17" t="s">
        <v>129</v>
      </c>
      <c r="B93" s="17" t="s">
        <v>146</v>
      </c>
      <c r="C93" s="17" t="s">
        <v>68</v>
      </c>
      <c r="D93" s="17"/>
      <c r="E93" s="17" t="s">
        <v>178</v>
      </c>
      <c r="F93" s="17" t="s">
        <v>288</v>
      </c>
      <c r="G93" s="17" t="s">
        <v>293</v>
      </c>
      <c r="H93" s="17"/>
      <c r="I93" s="17"/>
    </row>
    <row r="94" spans="1:9">
      <c r="A94" s="17" t="s">
        <v>129</v>
      </c>
      <c r="B94" s="17" t="s">
        <v>146</v>
      </c>
      <c r="C94" s="17" t="s">
        <v>68</v>
      </c>
      <c r="D94" s="17"/>
      <c r="E94" s="17" t="s">
        <v>178</v>
      </c>
      <c r="F94" s="17" t="s">
        <v>288</v>
      </c>
      <c r="G94" s="17" t="s">
        <v>294</v>
      </c>
      <c r="H94" s="17"/>
      <c r="I94" s="17"/>
    </row>
    <row r="95" spans="1:9">
      <c r="A95" s="17" t="s">
        <v>129</v>
      </c>
      <c r="B95" s="17" t="s">
        <v>143</v>
      </c>
      <c r="C95" s="17" t="s">
        <v>36</v>
      </c>
      <c r="D95" s="17" t="s">
        <v>280</v>
      </c>
      <c r="E95" s="17" t="s">
        <v>178</v>
      </c>
      <c r="F95" s="17"/>
      <c r="G95" s="17"/>
      <c r="H95" s="17"/>
      <c r="I95" s="17"/>
    </row>
    <row r="96" spans="1:9">
      <c r="A96" s="17" t="s">
        <v>129</v>
      </c>
      <c r="B96" s="17" t="s">
        <v>143</v>
      </c>
      <c r="C96" s="17" t="s">
        <v>295</v>
      </c>
      <c r="D96" s="17" t="s">
        <v>286</v>
      </c>
      <c r="E96" s="17" t="s">
        <v>178</v>
      </c>
      <c r="F96" s="17"/>
      <c r="G96" s="17"/>
      <c r="H96" s="17"/>
      <c r="I96" s="17"/>
    </row>
  </sheetData>
  <autoFilter ref="A1:I96"/>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F59E0B"/>
  </sheetPr>
  <dimension ref="A1:V356"/>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2.7109375" customWidth="1"/>
    <col min="4" max="4" width="10.7109375" customWidth="1"/>
    <col min="5" max="5" width="12.7109375" customWidth="1"/>
    <col min="6" max="6" width="15.7109375" customWidth="1"/>
    <col min="7" max="7" width="12.7109375" customWidth="1"/>
    <col min="8" max="8" width="8.7109375" customWidth="1"/>
    <col min="9" max="9" width="25.7109375" customWidth="1"/>
    <col min="10" max="10" width="20.7109375" customWidth="1"/>
    <col min="11" max="11" width="35.7109375" customWidth="1"/>
    <col min="12" max="12" width="28.7109375" customWidth="1"/>
    <col min="13" max="13" width="25.7109375" customWidth="1"/>
    <col min="14" max="14" width="18.7109375" customWidth="1"/>
    <col min="15" max="15" width="14.7109375" customWidth="1"/>
    <col min="16" max="17" width="50.7109375" customWidth="1"/>
    <col min="18" max="19" width="12.7109375" customWidth="1"/>
    <col min="20" max="20" width="18.7109375" customWidth="1"/>
    <col min="21" max="21" width="12.7109375" customWidth="1"/>
    <col min="22" max="22" width="18.7109375" customWidth="1"/>
  </cols>
  <sheetData>
    <row r="1" spans="1:22">
      <c r="A1" s="3" t="s">
        <v>128</v>
      </c>
      <c r="B1" s="3" t="s">
        <v>140</v>
      </c>
      <c r="C1" s="3" t="s">
        <v>296</v>
      </c>
      <c r="D1" s="3" t="s">
        <v>109</v>
      </c>
      <c r="E1" s="3" t="s">
        <v>297</v>
      </c>
      <c r="F1" s="3" t="s">
        <v>298</v>
      </c>
      <c r="G1" s="3" t="s">
        <v>299</v>
      </c>
      <c r="H1" s="3" t="s">
        <v>300</v>
      </c>
      <c r="I1" s="3" t="s">
        <v>301</v>
      </c>
      <c r="J1" s="3" t="s">
        <v>302</v>
      </c>
      <c r="K1" s="3" t="s">
        <v>153</v>
      </c>
      <c r="L1" s="3" t="s">
        <v>103</v>
      </c>
      <c r="M1" s="3" t="s">
        <v>152</v>
      </c>
      <c r="N1" s="3" t="s">
        <v>303</v>
      </c>
      <c r="O1" s="3" t="s">
        <v>131</v>
      </c>
      <c r="P1" s="3" t="s">
        <v>304</v>
      </c>
      <c r="Q1" s="3" t="s">
        <v>305</v>
      </c>
      <c r="R1" s="3" t="s">
        <v>127</v>
      </c>
      <c r="S1" s="3" t="s">
        <v>306</v>
      </c>
      <c r="T1" s="3" t="s">
        <v>307</v>
      </c>
      <c r="U1" s="3" t="s">
        <v>308</v>
      </c>
      <c r="V1" s="3" t="s">
        <v>309</v>
      </c>
    </row>
    <row r="2" spans="1:22">
      <c r="A2" s="17" t="s">
        <v>129</v>
      </c>
      <c r="B2" s="17" t="s">
        <v>145</v>
      </c>
      <c r="C2" s="17" t="s">
        <v>310</v>
      </c>
      <c r="D2" s="17" t="s">
        <v>126</v>
      </c>
      <c r="E2" s="18">
        <v>2</v>
      </c>
      <c r="F2" s="17" t="s">
        <v>135</v>
      </c>
      <c r="G2" s="18">
        <v>0</v>
      </c>
      <c r="H2" s="18">
        <v>2412</v>
      </c>
      <c r="I2" s="17" t="s">
        <v>311</v>
      </c>
      <c r="J2" s="17" t="s">
        <v>62</v>
      </c>
      <c r="K2" s="17" t="s">
        <v>312</v>
      </c>
      <c r="L2" s="17" t="s">
        <v>104</v>
      </c>
      <c r="M2" s="17" t="s">
        <v>8</v>
      </c>
      <c r="N2" s="19">
        <v>46090.4375</v>
      </c>
      <c r="O2" s="17" t="s">
        <v>133</v>
      </c>
      <c r="P2" s="17" t="s">
        <v>313</v>
      </c>
      <c r="Q2" s="17" t="s">
        <v>314</v>
      </c>
      <c r="R2" s="17" t="s">
        <v>99</v>
      </c>
      <c r="S2" s="17" t="s">
        <v>315</v>
      </c>
      <c r="T2" s="19">
        <v>46090.51180555556</v>
      </c>
      <c r="U2" s="17" t="s">
        <v>315</v>
      </c>
      <c r="V2" s="19">
        <v>46090.51180555556</v>
      </c>
    </row>
    <row r="3" spans="1:22">
      <c r="A3" s="17" t="s">
        <v>129</v>
      </c>
      <c r="B3" s="17" t="s">
        <v>143</v>
      </c>
      <c r="C3" s="17" t="s">
        <v>310</v>
      </c>
      <c r="D3" s="17" t="s">
        <v>126</v>
      </c>
      <c r="E3" s="18">
        <v>2</v>
      </c>
      <c r="F3" s="17" t="s">
        <v>135</v>
      </c>
      <c r="G3" s="18">
        <v>1</v>
      </c>
      <c r="H3" s="18">
        <v>2407</v>
      </c>
      <c r="I3" s="17" t="s">
        <v>316</v>
      </c>
      <c r="J3" s="17" t="s">
        <v>72</v>
      </c>
      <c r="K3" s="17" t="s">
        <v>317</v>
      </c>
      <c r="L3" s="17" t="s">
        <v>104</v>
      </c>
      <c r="M3" s="17" t="s">
        <v>8</v>
      </c>
      <c r="N3" s="19">
        <v>46090.375</v>
      </c>
      <c r="O3" s="17" t="s">
        <v>133</v>
      </c>
      <c r="P3" s="17" t="s">
        <v>318</v>
      </c>
      <c r="Q3" s="17"/>
      <c r="R3" s="17" t="s">
        <v>98</v>
      </c>
      <c r="S3" s="17" t="s">
        <v>315</v>
      </c>
      <c r="T3" s="19">
        <v>46090.40069444444</v>
      </c>
      <c r="U3" s="17" t="s">
        <v>315</v>
      </c>
      <c r="V3" s="19">
        <v>46090.40069444444</v>
      </c>
    </row>
    <row r="4" spans="1:22">
      <c r="A4" s="17" t="s">
        <v>130</v>
      </c>
      <c r="B4" s="17" t="s">
        <v>142</v>
      </c>
      <c r="C4" s="17" t="s">
        <v>319</v>
      </c>
      <c r="D4" s="17" t="s">
        <v>126</v>
      </c>
      <c r="E4" s="18">
        <v>6</v>
      </c>
      <c r="F4" s="17" t="s">
        <v>136</v>
      </c>
      <c r="G4" s="18">
        <v>1</v>
      </c>
      <c r="H4" s="18">
        <v>2391</v>
      </c>
      <c r="I4" s="17" t="s">
        <v>320</v>
      </c>
      <c r="J4" s="17" t="s">
        <v>73</v>
      </c>
      <c r="K4" s="17" t="s">
        <v>321</v>
      </c>
      <c r="L4" s="17" t="s">
        <v>104</v>
      </c>
      <c r="M4" s="17" t="s">
        <v>22</v>
      </c>
      <c r="N4" s="19">
        <v>46086.61805555555</v>
      </c>
      <c r="O4" s="17" t="s">
        <v>133</v>
      </c>
      <c r="P4" s="17" t="s">
        <v>322</v>
      </c>
      <c r="Q4" s="17" t="s">
        <v>323</v>
      </c>
      <c r="R4" s="17" t="s">
        <v>100</v>
      </c>
      <c r="S4" s="17" t="s">
        <v>315</v>
      </c>
      <c r="T4" s="19">
        <v>46086.65972222222</v>
      </c>
      <c r="U4" s="17" t="s">
        <v>315</v>
      </c>
      <c r="V4" s="19">
        <v>46086.65972222222</v>
      </c>
    </row>
    <row r="5" spans="1:22">
      <c r="A5" s="17" t="s">
        <v>130</v>
      </c>
      <c r="B5" s="17" t="s">
        <v>142</v>
      </c>
      <c r="C5" s="17" t="s">
        <v>324</v>
      </c>
      <c r="D5" s="17" t="s">
        <v>126</v>
      </c>
      <c r="E5" s="18">
        <v>8</v>
      </c>
      <c r="F5" s="17" t="s">
        <v>136</v>
      </c>
      <c r="G5" s="18">
        <v>0</v>
      </c>
      <c r="H5" s="18">
        <v>2383</v>
      </c>
      <c r="I5" s="17" t="s">
        <v>325</v>
      </c>
      <c r="J5" s="17" t="s">
        <v>52</v>
      </c>
      <c r="K5" s="17" t="s">
        <v>321</v>
      </c>
      <c r="L5" s="17" t="s">
        <v>104</v>
      </c>
      <c r="M5" s="17" t="s">
        <v>8</v>
      </c>
      <c r="N5" s="19">
        <v>46084.93055555555</v>
      </c>
      <c r="O5" s="17" t="s">
        <v>133</v>
      </c>
      <c r="P5" s="17" t="s">
        <v>326</v>
      </c>
      <c r="Q5" s="17" t="s">
        <v>327</v>
      </c>
      <c r="R5" s="17" t="s">
        <v>99</v>
      </c>
      <c r="S5" s="17" t="s">
        <v>315</v>
      </c>
      <c r="T5" s="19">
        <v>46086.41180555556</v>
      </c>
      <c r="U5" s="17" t="s">
        <v>315</v>
      </c>
      <c r="V5" s="19">
        <v>46086.41180555556</v>
      </c>
    </row>
    <row r="6" spans="1:22">
      <c r="A6" s="17" t="s">
        <v>129</v>
      </c>
      <c r="B6" s="17" t="s">
        <v>143</v>
      </c>
      <c r="C6" s="17" t="s">
        <v>328</v>
      </c>
      <c r="D6" s="17" t="s">
        <v>126</v>
      </c>
      <c r="E6" s="18">
        <v>9</v>
      </c>
      <c r="F6" s="17" t="s">
        <v>136</v>
      </c>
      <c r="G6" s="18">
        <v>0</v>
      </c>
      <c r="H6" s="18">
        <v>2370</v>
      </c>
      <c r="I6" s="17" t="s">
        <v>329</v>
      </c>
      <c r="J6" s="17" t="s">
        <v>55</v>
      </c>
      <c r="K6" s="17" t="s">
        <v>330</v>
      </c>
      <c r="L6" s="17" t="s">
        <v>104</v>
      </c>
      <c r="M6" s="17" t="s">
        <v>20</v>
      </c>
      <c r="N6" s="19">
        <v>46083.56944444445</v>
      </c>
      <c r="O6" s="17" t="s">
        <v>133</v>
      </c>
      <c r="P6" s="17" t="s">
        <v>331</v>
      </c>
      <c r="Q6" s="17" t="s">
        <v>332</v>
      </c>
      <c r="R6" s="17" t="s">
        <v>99</v>
      </c>
      <c r="S6" s="17" t="s">
        <v>315</v>
      </c>
      <c r="T6" s="19">
        <v>46083.65347222222</v>
      </c>
      <c r="U6" s="17" t="s">
        <v>315</v>
      </c>
      <c r="V6" s="19">
        <v>46083.65347222222</v>
      </c>
    </row>
    <row r="7" spans="1:22">
      <c r="A7" s="17" t="s">
        <v>130</v>
      </c>
      <c r="B7" s="17" t="s">
        <v>144</v>
      </c>
      <c r="C7" s="17" t="s">
        <v>333</v>
      </c>
      <c r="D7" s="17" t="s">
        <v>126</v>
      </c>
      <c r="E7" s="18">
        <v>10</v>
      </c>
      <c r="F7" s="17" t="s">
        <v>137</v>
      </c>
      <c r="G7" s="18">
        <v>0</v>
      </c>
      <c r="H7" s="18">
        <v>2366</v>
      </c>
      <c r="I7" s="17" t="s">
        <v>334</v>
      </c>
      <c r="J7" s="17" t="s">
        <v>65</v>
      </c>
      <c r="K7" s="17" t="s">
        <v>335</v>
      </c>
      <c r="L7" s="17" t="s">
        <v>104</v>
      </c>
      <c r="M7" s="17" t="s">
        <v>20</v>
      </c>
      <c r="N7" s="19">
        <v>46082.72916666666</v>
      </c>
      <c r="O7" s="17" t="s">
        <v>133</v>
      </c>
      <c r="P7" s="17" t="s">
        <v>336</v>
      </c>
      <c r="Q7" s="17" t="s">
        <v>337</v>
      </c>
      <c r="R7" s="17" t="s">
        <v>99</v>
      </c>
      <c r="S7" s="17" t="s">
        <v>315</v>
      </c>
      <c r="T7" s="19">
        <v>46083.39444444444</v>
      </c>
      <c r="U7" s="17" t="s">
        <v>315</v>
      </c>
      <c r="V7" s="19">
        <v>46083.39444444444</v>
      </c>
    </row>
    <row r="8" spans="1:22">
      <c r="A8" s="17" t="s">
        <v>129</v>
      </c>
      <c r="B8" s="17" t="s">
        <v>145</v>
      </c>
      <c r="C8" s="17" t="s">
        <v>338</v>
      </c>
      <c r="D8" s="17" t="s">
        <v>125</v>
      </c>
      <c r="E8" s="18">
        <v>12</v>
      </c>
      <c r="F8" s="17" t="s">
        <v>137</v>
      </c>
      <c r="G8" s="18">
        <v>0</v>
      </c>
      <c r="H8" s="18">
        <v>2356</v>
      </c>
      <c r="I8" s="17" t="s">
        <v>339</v>
      </c>
      <c r="J8" s="17" t="s">
        <v>62</v>
      </c>
      <c r="K8" s="17" t="s">
        <v>312</v>
      </c>
      <c r="L8" s="17" t="s">
        <v>105</v>
      </c>
      <c r="M8" s="17" t="s">
        <v>27</v>
      </c>
      <c r="N8" s="19">
        <v>46080.40972222222</v>
      </c>
      <c r="O8" s="17" t="s">
        <v>133</v>
      </c>
      <c r="P8" s="17" t="s">
        <v>340</v>
      </c>
      <c r="Q8" s="17" t="s">
        <v>341</v>
      </c>
      <c r="R8" s="17" t="s">
        <v>99</v>
      </c>
      <c r="S8" s="17" t="s">
        <v>342</v>
      </c>
      <c r="T8" s="19">
        <v>46080.52916666667</v>
      </c>
      <c r="U8" s="17" t="s">
        <v>342</v>
      </c>
      <c r="V8" s="19">
        <v>46080.52916666667</v>
      </c>
    </row>
    <row r="9" spans="1:22">
      <c r="A9" s="17" t="s">
        <v>129</v>
      </c>
      <c r="B9" s="17" t="s">
        <v>141</v>
      </c>
      <c r="C9" s="17" t="s">
        <v>343</v>
      </c>
      <c r="D9" s="17" t="s">
        <v>125</v>
      </c>
      <c r="E9" s="18">
        <v>14</v>
      </c>
      <c r="F9" s="17" t="s">
        <v>137</v>
      </c>
      <c r="G9" s="18">
        <v>0</v>
      </c>
      <c r="H9" s="18">
        <v>2348</v>
      </c>
      <c r="I9" s="17" t="s">
        <v>344</v>
      </c>
      <c r="J9" s="17" t="s">
        <v>39</v>
      </c>
      <c r="K9" s="17" t="s">
        <v>241</v>
      </c>
      <c r="L9" s="17" t="s">
        <v>104</v>
      </c>
      <c r="M9" s="17" t="s">
        <v>20</v>
      </c>
      <c r="N9" s="19">
        <v>46078.85416666666</v>
      </c>
      <c r="O9" s="17" t="s">
        <v>133</v>
      </c>
      <c r="P9" s="17" t="s">
        <v>345</v>
      </c>
      <c r="Q9" s="17" t="s">
        <v>346</v>
      </c>
      <c r="R9" s="17" t="s">
        <v>99</v>
      </c>
      <c r="S9" s="17" t="s">
        <v>342</v>
      </c>
      <c r="T9" s="19">
        <v>46079.4</v>
      </c>
      <c r="U9" s="17" t="s">
        <v>342</v>
      </c>
      <c r="V9" s="19">
        <v>46079.4</v>
      </c>
    </row>
    <row r="10" spans="1:22">
      <c r="A10" s="17" t="s">
        <v>130</v>
      </c>
      <c r="B10" s="17" t="s">
        <v>144</v>
      </c>
      <c r="C10" s="17" t="s">
        <v>343</v>
      </c>
      <c r="D10" s="17" t="s">
        <v>125</v>
      </c>
      <c r="E10" s="18">
        <v>14</v>
      </c>
      <c r="F10" s="17" t="s">
        <v>137</v>
      </c>
      <c r="G10" s="18">
        <v>0</v>
      </c>
      <c r="H10" s="18">
        <v>2345</v>
      </c>
      <c r="I10" s="17" t="s">
        <v>347</v>
      </c>
      <c r="J10" s="17" t="s">
        <v>28</v>
      </c>
      <c r="K10" s="17" t="s">
        <v>348</v>
      </c>
      <c r="L10" s="17" t="s">
        <v>104</v>
      </c>
      <c r="M10" s="17" t="s">
        <v>22</v>
      </c>
      <c r="N10" s="19">
        <v>46078.77083333334</v>
      </c>
      <c r="O10" s="17" t="s">
        <v>133</v>
      </c>
      <c r="P10" s="17" t="s">
        <v>349</v>
      </c>
      <c r="Q10" s="17" t="s">
        <v>350</v>
      </c>
      <c r="R10" s="17" t="s">
        <v>99</v>
      </c>
      <c r="S10" s="17" t="s">
        <v>342</v>
      </c>
      <c r="T10" s="19">
        <v>46079.39166666667</v>
      </c>
      <c r="U10" s="17" t="s">
        <v>342</v>
      </c>
      <c r="V10" s="19">
        <v>46079.39166666667</v>
      </c>
    </row>
    <row r="11" spans="1:22">
      <c r="A11" s="17" t="s">
        <v>129</v>
      </c>
      <c r="B11" s="17" t="s">
        <v>141</v>
      </c>
      <c r="C11" s="17" t="s">
        <v>343</v>
      </c>
      <c r="D11" s="17" t="s">
        <v>125</v>
      </c>
      <c r="E11" s="18">
        <v>14</v>
      </c>
      <c r="F11" s="17" t="s">
        <v>137</v>
      </c>
      <c r="G11" s="18">
        <v>0</v>
      </c>
      <c r="H11" s="18">
        <v>2341</v>
      </c>
      <c r="I11" s="17" t="s">
        <v>351</v>
      </c>
      <c r="J11" s="17" t="s">
        <v>62</v>
      </c>
      <c r="K11" s="17" t="s">
        <v>352</v>
      </c>
      <c r="L11" s="17" t="s">
        <v>104</v>
      </c>
      <c r="M11" s="17" t="s">
        <v>8</v>
      </c>
      <c r="N11" s="19">
        <v>46078.54166666666</v>
      </c>
      <c r="O11" s="17" t="s">
        <v>133</v>
      </c>
      <c r="P11" s="17" t="s">
        <v>353</v>
      </c>
      <c r="Q11" s="17" t="s">
        <v>354</v>
      </c>
      <c r="R11" s="17" t="s">
        <v>99</v>
      </c>
      <c r="S11" s="17" t="s">
        <v>315</v>
      </c>
      <c r="T11" s="19">
        <v>46078.59236111111</v>
      </c>
      <c r="U11" s="17" t="s">
        <v>315</v>
      </c>
      <c r="V11" s="19">
        <v>46078.59236111111</v>
      </c>
    </row>
    <row r="12" spans="1:22">
      <c r="A12" s="17" t="s">
        <v>129</v>
      </c>
      <c r="B12" s="17" t="s">
        <v>143</v>
      </c>
      <c r="C12" s="17" t="s">
        <v>343</v>
      </c>
      <c r="D12" s="17" t="s">
        <v>125</v>
      </c>
      <c r="E12" s="18">
        <v>14</v>
      </c>
      <c r="F12" s="17" t="s">
        <v>137</v>
      </c>
      <c r="G12" s="18">
        <v>0</v>
      </c>
      <c r="H12" s="18">
        <v>2340</v>
      </c>
      <c r="I12" s="17" t="s">
        <v>355</v>
      </c>
      <c r="J12" s="17" t="s">
        <v>56</v>
      </c>
      <c r="K12" s="17" t="s">
        <v>356</v>
      </c>
      <c r="L12" s="17" t="s">
        <v>104</v>
      </c>
      <c r="M12" s="17" t="s">
        <v>20</v>
      </c>
      <c r="N12" s="19">
        <v>46078.47916666666</v>
      </c>
      <c r="O12" s="17" t="s">
        <v>133</v>
      </c>
      <c r="P12" s="17" t="s">
        <v>357</v>
      </c>
      <c r="Q12" s="17" t="s">
        <v>358</v>
      </c>
      <c r="R12" s="17" t="s">
        <v>99</v>
      </c>
      <c r="S12" s="17" t="s">
        <v>315</v>
      </c>
      <c r="T12" s="19">
        <v>46078.52916666667</v>
      </c>
      <c r="U12" s="17" t="s">
        <v>315</v>
      </c>
      <c r="V12" s="19">
        <v>46078.52916666667</v>
      </c>
    </row>
    <row r="13" spans="1:22">
      <c r="A13" s="17" t="s">
        <v>129</v>
      </c>
      <c r="B13" s="17" t="s">
        <v>143</v>
      </c>
      <c r="C13" s="17" t="s">
        <v>343</v>
      </c>
      <c r="D13" s="17" t="s">
        <v>125</v>
      </c>
      <c r="E13" s="18">
        <v>14</v>
      </c>
      <c r="F13" s="17" t="s">
        <v>137</v>
      </c>
      <c r="G13" s="18">
        <v>0</v>
      </c>
      <c r="H13" s="18">
        <v>2336</v>
      </c>
      <c r="I13" s="17" t="s">
        <v>359</v>
      </c>
      <c r="J13" s="17" t="s">
        <v>36</v>
      </c>
      <c r="K13" s="17" t="s">
        <v>360</v>
      </c>
      <c r="L13" s="17" t="s">
        <v>106</v>
      </c>
      <c r="M13" s="17" t="s">
        <v>10</v>
      </c>
      <c r="N13" s="19">
        <v>46078.35416666666</v>
      </c>
      <c r="O13" s="17" t="s">
        <v>133</v>
      </c>
      <c r="P13" s="17" t="s">
        <v>361</v>
      </c>
      <c r="Q13" s="17" t="s">
        <v>362</v>
      </c>
      <c r="R13" s="17" t="s">
        <v>99</v>
      </c>
      <c r="S13" s="17" t="s">
        <v>342</v>
      </c>
      <c r="T13" s="19">
        <v>46078.40069444444</v>
      </c>
      <c r="U13" s="17" t="s">
        <v>342</v>
      </c>
      <c r="V13" s="19">
        <v>46078.40069444444</v>
      </c>
    </row>
    <row r="14" spans="1:22">
      <c r="A14" s="17" t="s">
        <v>130</v>
      </c>
      <c r="B14" s="17" t="s">
        <v>142</v>
      </c>
      <c r="C14" s="17" t="s">
        <v>363</v>
      </c>
      <c r="D14" s="17" t="s">
        <v>125</v>
      </c>
      <c r="E14" s="18">
        <v>15</v>
      </c>
      <c r="F14" s="17" t="s">
        <v>137</v>
      </c>
      <c r="G14" s="18">
        <v>0</v>
      </c>
      <c r="H14" s="18">
        <v>2335</v>
      </c>
      <c r="I14" s="17" t="s">
        <v>364</v>
      </c>
      <c r="J14" s="17" t="s">
        <v>73</v>
      </c>
      <c r="K14" s="17" t="s">
        <v>365</v>
      </c>
      <c r="L14" s="17" t="s">
        <v>104</v>
      </c>
      <c r="M14" s="17" t="s">
        <v>8</v>
      </c>
      <c r="N14" s="19">
        <v>46077.95138888889</v>
      </c>
      <c r="O14" s="17" t="s">
        <v>133</v>
      </c>
      <c r="P14" s="17" t="s">
        <v>366</v>
      </c>
      <c r="Q14" s="17" t="s">
        <v>367</v>
      </c>
      <c r="R14" s="17" t="s">
        <v>99</v>
      </c>
      <c r="S14" s="17" t="s">
        <v>342</v>
      </c>
      <c r="T14" s="19">
        <v>46078.39930555555</v>
      </c>
      <c r="U14" s="17" t="s">
        <v>342</v>
      </c>
      <c r="V14" s="19">
        <v>46078.39930555555</v>
      </c>
    </row>
    <row r="15" spans="1:22">
      <c r="A15" s="17" t="s">
        <v>130</v>
      </c>
      <c r="B15" s="17" t="s">
        <v>142</v>
      </c>
      <c r="C15" s="17" t="s">
        <v>363</v>
      </c>
      <c r="D15" s="17" t="s">
        <v>125</v>
      </c>
      <c r="E15" s="18">
        <v>15</v>
      </c>
      <c r="F15" s="17" t="s">
        <v>137</v>
      </c>
      <c r="G15" s="18">
        <v>0</v>
      </c>
      <c r="H15" s="18">
        <v>2327</v>
      </c>
      <c r="I15" s="17" t="s">
        <v>368</v>
      </c>
      <c r="J15" s="17" t="s">
        <v>73</v>
      </c>
      <c r="K15" s="17" t="s">
        <v>321</v>
      </c>
      <c r="L15" s="17" t="s">
        <v>104</v>
      </c>
      <c r="M15" s="17" t="s">
        <v>22</v>
      </c>
      <c r="N15" s="19">
        <v>46077.39583333334</v>
      </c>
      <c r="O15" s="17" t="s">
        <v>133</v>
      </c>
      <c r="P15" s="17" t="s">
        <v>369</v>
      </c>
      <c r="Q15" s="17" t="s">
        <v>370</v>
      </c>
      <c r="R15" s="17" t="s">
        <v>99</v>
      </c>
      <c r="S15" s="17" t="s">
        <v>315</v>
      </c>
      <c r="T15" s="19">
        <v>46077.42986111111</v>
      </c>
      <c r="U15" s="17" t="s">
        <v>315</v>
      </c>
      <c r="V15" s="19">
        <v>46077.42986111111</v>
      </c>
    </row>
    <row r="16" spans="1:22">
      <c r="A16" s="17" t="s">
        <v>130</v>
      </c>
      <c r="B16" s="17" t="s">
        <v>144</v>
      </c>
      <c r="C16" s="17" t="s">
        <v>371</v>
      </c>
      <c r="D16" s="17" t="s">
        <v>125</v>
      </c>
      <c r="E16" s="18">
        <v>20</v>
      </c>
      <c r="F16" s="17" t="s">
        <v>138</v>
      </c>
      <c r="G16" s="18">
        <v>0</v>
      </c>
      <c r="H16" s="18">
        <v>2312</v>
      </c>
      <c r="I16" s="17" t="s">
        <v>372</v>
      </c>
      <c r="J16" s="17" t="s">
        <v>28</v>
      </c>
      <c r="K16" s="17" t="s">
        <v>144</v>
      </c>
      <c r="L16" s="17" t="s">
        <v>104</v>
      </c>
      <c r="M16" s="17" t="s">
        <v>22</v>
      </c>
      <c r="N16" s="19">
        <v>46072.74305555555</v>
      </c>
      <c r="O16" s="17" t="s">
        <v>133</v>
      </c>
      <c r="P16" s="17" t="s">
        <v>373</v>
      </c>
      <c r="Q16" s="17" t="s">
        <v>374</v>
      </c>
      <c r="R16" s="17" t="s">
        <v>99</v>
      </c>
      <c r="S16" s="17" t="s">
        <v>315</v>
      </c>
      <c r="T16" s="19">
        <v>46073.37708333333</v>
      </c>
      <c r="U16" s="17" t="s">
        <v>315</v>
      </c>
      <c r="V16" s="19">
        <v>46073.37708333333</v>
      </c>
    </row>
    <row r="17" spans="1:22">
      <c r="A17" s="17" t="s">
        <v>129</v>
      </c>
      <c r="B17" s="17" t="s">
        <v>143</v>
      </c>
      <c r="C17" s="17" t="s">
        <v>375</v>
      </c>
      <c r="D17" s="17" t="s">
        <v>125</v>
      </c>
      <c r="E17" s="18">
        <v>22</v>
      </c>
      <c r="F17" s="17" t="s">
        <v>138</v>
      </c>
      <c r="G17" s="18">
        <v>0</v>
      </c>
      <c r="H17" s="18">
        <v>2296</v>
      </c>
      <c r="I17" s="17" t="s">
        <v>376</v>
      </c>
      <c r="J17" s="17" t="s">
        <v>55</v>
      </c>
      <c r="K17" s="17" t="s">
        <v>330</v>
      </c>
      <c r="L17" s="17" t="s">
        <v>105</v>
      </c>
      <c r="M17" s="17" t="s">
        <v>6</v>
      </c>
      <c r="N17" s="19">
        <v>46070.73611111111</v>
      </c>
      <c r="O17" s="17" t="s">
        <v>133</v>
      </c>
      <c r="P17" s="17" t="s">
        <v>377</v>
      </c>
      <c r="Q17" s="17" t="s">
        <v>378</v>
      </c>
      <c r="R17" s="17" t="s">
        <v>99</v>
      </c>
      <c r="S17" s="17" t="s">
        <v>315</v>
      </c>
      <c r="T17" s="19">
        <v>46071.39652777778</v>
      </c>
      <c r="U17" s="17" t="s">
        <v>315</v>
      </c>
      <c r="V17" s="19">
        <v>46071.39652777778</v>
      </c>
    </row>
    <row r="18" spans="1:22">
      <c r="A18" s="17" t="s">
        <v>129</v>
      </c>
      <c r="B18" s="17" t="s">
        <v>141</v>
      </c>
      <c r="C18" s="17" t="s">
        <v>375</v>
      </c>
      <c r="D18" s="17" t="s">
        <v>125</v>
      </c>
      <c r="E18" s="18">
        <v>22</v>
      </c>
      <c r="F18" s="17" t="s">
        <v>138</v>
      </c>
      <c r="G18" s="18">
        <v>0</v>
      </c>
      <c r="H18" s="18">
        <v>2292</v>
      </c>
      <c r="I18" s="17" t="s">
        <v>379</v>
      </c>
      <c r="J18" s="17" t="s">
        <v>62</v>
      </c>
      <c r="K18" s="17" t="s">
        <v>352</v>
      </c>
      <c r="L18" s="17" t="s">
        <v>104</v>
      </c>
      <c r="M18" s="17" t="s">
        <v>22</v>
      </c>
      <c r="N18" s="19">
        <v>46070.61805555555</v>
      </c>
      <c r="O18" s="17" t="s">
        <v>133</v>
      </c>
      <c r="P18" s="17" t="s">
        <v>380</v>
      </c>
      <c r="Q18" s="17" t="s">
        <v>381</v>
      </c>
      <c r="R18" s="17" t="s">
        <v>99</v>
      </c>
      <c r="S18" s="17" t="s">
        <v>315</v>
      </c>
      <c r="T18" s="19">
        <v>46070.66458333333</v>
      </c>
      <c r="U18" s="17" t="s">
        <v>315</v>
      </c>
      <c r="V18" s="19">
        <v>46070.66458333333</v>
      </c>
    </row>
    <row r="19" spans="1:22">
      <c r="A19" s="17" t="s">
        <v>129</v>
      </c>
      <c r="B19" s="17" t="s">
        <v>145</v>
      </c>
      <c r="C19" s="17" t="s">
        <v>382</v>
      </c>
      <c r="D19" s="17" t="s">
        <v>125</v>
      </c>
      <c r="E19" s="18">
        <v>23</v>
      </c>
      <c r="F19" s="17" t="s">
        <v>138</v>
      </c>
      <c r="G19" s="18">
        <v>0</v>
      </c>
      <c r="H19" s="18">
        <v>2286</v>
      </c>
      <c r="I19" s="17" t="s">
        <v>383</v>
      </c>
      <c r="J19" s="17" t="s">
        <v>49</v>
      </c>
      <c r="K19" s="17" t="s">
        <v>312</v>
      </c>
      <c r="L19" s="17" t="s">
        <v>106</v>
      </c>
      <c r="M19" s="17" t="s">
        <v>19</v>
      </c>
      <c r="N19" s="19">
        <v>46069.72916666666</v>
      </c>
      <c r="O19" s="17" t="s">
        <v>133</v>
      </c>
      <c r="P19" s="17" t="s">
        <v>384</v>
      </c>
      <c r="Q19" s="17" t="s">
        <v>385</v>
      </c>
      <c r="R19" s="17" t="s">
        <v>99</v>
      </c>
      <c r="S19" s="17" t="s">
        <v>315</v>
      </c>
      <c r="T19" s="19">
        <v>46070.46736111111</v>
      </c>
      <c r="U19" s="17" t="s">
        <v>315</v>
      </c>
      <c r="V19" s="19">
        <v>46070.46736111111</v>
      </c>
    </row>
    <row r="20" spans="1:22">
      <c r="A20" s="17" t="s">
        <v>130</v>
      </c>
      <c r="B20" s="17" t="s">
        <v>144</v>
      </c>
      <c r="C20" s="17" t="s">
        <v>386</v>
      </c>
      <c r="D20" s="17" t="s">
        <v>125</v>
      </c>
      <c r="E20" s="18">
        <v>24</v>
      </c>
      <c r="F20" s="17" t="s">
        <v>138</v>
      </c>
      <c r="G20" s="18">
        <v>0</v>
      </c>
      <c r="H20" s="18">
        <v>2278</v>
      </c>
      <c r="I20" s="17" t="s">
        <v>387</v>
      </c>
      <c r="J20" s="17" t="s">
        <v>41</v>
      </c>
      <c r="K20" s="17" t="s">
        <v>348</v>
      </c>
      <c r="L20" s="17" t="s">
        <v>104</v>
      </c>
      <c r="M20" s="17" t="s">
        <v>8</v>
      </c>
      <c r="N20" s="19">
        <v>46068.57638888889</v>
      </c>
      <c r="O20" s="17" t="s">
        <v>133</v>
      </c>
      <c r="P20" s="17" t="s">
        <v>388</v>
      </c>
      <c r="Q20" s="17" t="s">
        <v>389</v>
      </c>
      <c r="R20" s="17" t="s">
        <v>99</v>
      </c>
      <c r="S20" s="17" t="s">
        <v>315</v>
      </c>
      <c r="T20" s="19">
        <v>46069.52569444444</v>
      </c>
      <c r="U20" s="17" t="s">
        <v>315</v>
      </c>
      <c r="V20" s="19">
        <v>46069.52569444444</v>
      </c>
    </row>
    <row r="21" spans="1:22">
      <c r="A21" s="17" t="s">
        <v>129</v>
      </c>
      <c r="B21" s="17" t="s">
        <v>141</v>
      </c>
      <c r="C21" s="17" t="s">
        <v>390</v>
      </c>
      <c r="D21" s="17" t="s">
        <v>125</v>
      </c>
      <c r="E21" s="18">
        <v>25</v>
      </c>
      <c r="F21" s="17" t="s">
        <v>138</v>
      </c>
      <c r="G21" s="18">
        <v>0</v>
      </c>
      <c r="H21" s="18">
        <v>2270</v>
      </c>
      <c r="I21" s="17" t="s">
        <v>391</v>
      </c>
      <c r="J21" s="17" t="s">
        <v>62</v>
      </c>
      <c r="K21" s="17" t="s">
        <v>352</v>
      </c>
      <c r="L21" s="17" t="s">
        <v>104</v>
      </c>
      <c r="M21" s="17" t="s">
        <v>22</v>
      </c>
      <c r="N21" s="19">
        <v>46067.45833333334</v>
      </c>
      <c r="O21" s="17" t="s">
        <v>133</v>
      </c>
      <c r="P21" s="17" t="s">
        <v>392</v>
      </c>
      <c r="Q21" s="17" t="s">
        <v>381</v>
      </c>
      <c r="R21" s="17" t="s">
        <v>99</v>
      </c>
      <c r="S21" s="17" t="s">
        <v>315</v>
      </c>
      <c r="T21" s="19">
        <v>46067.49375</v>
      </c>
      <c r="U21" s="17" t="s">
        <v>315</v>
      </c>
      <c r="V21" s="19">
        <v>46067.49375</v>
      </c>
    </row>
    <row r="22" spans="1:22">
      <c r="A22" s="17" t="s">
        <v>129</v>
      </c>
      <c r="B22" s="17" t="s">
        <v>141</v>
      </c>
      <c r="C22" s="17" t="s">
        <v>393</v>
      </c>
      <c r="D22" s="17" t="s">
        <v>125</v>
      </c>
      <c r="E22" s="18">
        <v>27</v>
      </c>
      <c r="F22" s="17" t="s">
        <v>138</v>
      </c>
      <c r="G22" s="18">
        <v>0</v>
      </c>
      <c r="H22" s="18">
        <v>2261</v>
      </c>
      <c r="I22" s="17" t="s">
        <v>394</v>
      </c>
      <c r="J22" s="17" t="s">
        <v>62</v>
      </c>
      <c r="K22" s="17" t="s">
        <v>395</v>
      </c>
      <c r="L22" s="17" t="s">
        <v>104</v>
      </c>
      <c r="M22" s="17" t="s">
        <v>22</v>
      </c>
      <c r="N22" s="19">
        <v>46065.72916666666</v>
      </c>
      <c r="O22" s="17" t="s">
        <v>133</v>
      </c>
      <c r="P22" s="17" t="s">
        <v>396</v>
      </c>
      <c r="Q22" s="17" t="s">
        <v>397</v>
      </c>
      <c r="R22" s="17" t="s">
        <v>99</v>
      </c>
      <c r="S22" s="17" t="s">
        <v>315</v>
      </c>
      <c r="T22" s="19">
        <v>46066.40625</v>
      </c>
      <c r="U22" s="17" t="s">
        <v>315</v>
      </c>
      <c r="V22" s="19">
        <v>46066.40625</v>
      </c>
    </row>
    <row r="23" spans="1:22">
      <c r="A23" s="17" t="s">
        <v>129</v>
      </c>
      <c r="B23" s="17" t="s">
        <v>146</v>
      </c>
      <c r="C23" s="17" t="s">
        <v>398</v>
      </c>
      <c r="D23" s="17" t="s">
        <v>124</v>
      </c>
      <c r="E23" s="18">
        <v>41</v>
      </c>
      <c r="F23" s="17" t="s">
        <v>139</v>
      </c>
      <c r="G23" s="18">
        <v>0</v>
      </c>
      <c r="H23" s="18">
        <v>2242</v>
      </c>
      <c r="I23" s="17" t="s">
        <v>399</v>
      </c>
      <c r="J23" s="17" t="s">
        <v>30</v>
      </c>
      <c r="K23" s="17" t="s">
        <v>288</v>
      </c>
      <c r="L23" s="17" t="s">
        <v>104</v>
      </c>
      <c r="M23" s="17" t="s">
        <v>20</v>
      </c>
      <c r="N23" s="19">
        <v>46051.59027777778</v>
      </c>
      <c r="O23" s="17" t="s">
        <v>133</v>
      </c>
      <c r="P23" s="17" t="s">
        <v>400</v>
      </c>
      <c r="Q23" s="17" t="s">
        <v>401</v>
      </c>
      <c r="R23" s="17" t="s">
        <v>99</v>
      </c>
      <c r="S23" s="17" t="s">
        <v>315</v>
      </c>
      <c r="T23" s="19">
        <v>46064.39930555555</v>
      </c>
      <c r="U23" s="17" t="s">
        <v>315</v>
      </c>
      <c r="V23" s="19">
        <v>46064.39930555555</v>
      </c>
    </row>
    <row r="24" spans="1:22">
      <c r="A24" s="17" t="s">
        <v>130</v>
      </c>
      <c r="B24" s="17" t="s">
        <v>142</v>
      </c>
      <c r="C24" s="17" t="s">
        <v>402</v>
      </c>
      <c r="D24" s="17" t="s">
        <v>125</v>
      </c>
      <c r="E24" s="18">
        <v>29</v>
      </c>
      <c r="F24" s="17" t="s">
        <v>138</v>
      </c>
      <c r="G24" s="18">
        <v>0</v>
      </c>
      <c r="H24" s="18">
        <v>2239</v>
      </c>
      <c r="I24" s="17" t="s">
        <v>403</v>
      </c>
      <c r="J24" s="17" t="s">
        <v>62</v>
      </c>
      <c r="K24" s="17" t="s">
        <v>404</v>
      </c>
      <c r="L24" s="17" t="s">
        <v>104</v>
      </c>
      <c r="M24" s="17" t="s">
        <v>22</v>
      </c>
      <c r="N24" s="19">
        <v>46063.66666666666</v>
      </c>
      <c r="O24" s="17" t="s">
        <v>133</v>
      </c>
      <c r="P24" s="17" t="s">
        <v>405</v>
      </c>
      <c r="Q24" s="17" t="s">
        <v>406</v>
      </c>
      <c r="R24" s="17" t="s">
        <v>99</v>
      </c>
      <c r="S24" s="17" t="s">
        <v>315</v>
      </c>
      <c r="T24" s="19">
        <v>46063.72986111111</v>
      </c>
      <c r="U24" s="17" t="s">
        <v>315</v>
      </c>
      <c r="V24" s="19">
        <v>46063.72986111111</v>
      </c>
    </row>
    <row r="25" spans="1:22">
      <c r="A25" s="17" t="s">
        <v>129</v>
      </c>
      <c r="B25" s="17" t="s">
        <v>141</v>
      </c>
      <c r="C25" s="17" t="s">
        <v>402</v>
      </c>
      <c r="D25" s="17" t="s">
        <v>125</v>
      </c>
      <c r="E25" s="18">
        <v>29</v>
      </c>
      <c r="F25" s="17" t="s">
        <v>138</v>
      </c>
      <c r="G25" s="18">
        <v>0</v>
      </c>
      <c r="H25" s="18">
        <v>2231</v>
      </c>
      <c r="I25" s="17" t="s">
        <v>407</v>
      </c>
      <c r="J25" s="17" t="s">
        <v>70</v>
      </c>
      <c r="K25" s="17" t="s">
        <v>221</v>
      </c>
      <c r="L25" s="17" t="s">
        <v>104</v>
      </c>
      <c r="M25" s="17" t="s">
        <v>8</v>
      </c>
      <c r="N25" s="19">
        <v>46063.45833333334</v>
      </c>
      <c r="O25" s="17" t="s">
        <v>133</v>
      </c>
      <c r="P25" s="17" t="s">
        <v>408</v>
      </c>
      <c r="Q25" s="17" t="s">
        <v>409</v>
      </c>
      <c r="R25" s="17" t="s">
        <v>99</v>
      </c>
      <c r="S25" s="17" t="s">
        <v>315</v>
      </c>
      <c r="T25" s="19">
        <v>46063.50416666667</v>
      </c>
      <c r="U25" s="17" t="s">
        <v>315</v>
      </c>
      <c r="V25" s="19">
        <v>46063.50416666667</v>
      </c>
    </row>
    <row r="26" spans="1:22">
      <c r="A26" s="17" t="s">
        <v>129</v>
      </c>
      <c r="B26" s="17" t="s">
        <v>141</v>
      </c>
      <c r="C26" s="17" t="s">
        <v>410</v>
      </c>
      <c r="D26" s="17" t="s">
        <v>125</v>
      </c>
      <c r="E26" s="18">
        <v>33</v>
      </c>
      <c r="F26" s="17" t="s">
        <v>139</v>
      </c>
      <c r="G26" s="18">
        <v>0</v>
      </c>
      <c r="H26" s="18">
        <v>2220</v>
      </c>
      <c r="I26" s="17" t="s">
        <v>411</v>
      </c>
      <c r="J26" s="17" t="s">
        <v>74</v>
      </c>
      <c r="K26" s="17" t="s">
        <v>352</v>
      </c>
      <c r="L26" s="17" t="s">
        <v>107</v>
      </c>
      <c r="M26" s="17" t="s">
        <v>12</v>
      </c>
      <c r="N26" s="19">
        <v>46059.47916666666</v>
      </c>
      <c r="O26" s="17" t="s">
        <v>133</v>
      </c>
      <c r="P26" s="17" t="s">
        <v>412</v>
      </c>
      <c r="Q26" s="17" t="s">
        <v>413</v>
      </c>
      <c r="R26" s="17" t="s">
        <v>99</v>
      </c>
      <c r="S26" s="17" t="s">
        <v>315</v>
      </c>
      <c r="T26" s="19">
        <v>46059.525</v>
      </c>
      <c r="U26" s="17" t="s">
        <v>315</v>
      </c>
      <c r="V26" s="19">
        <v>46059.525</v>
      </c>
    </row>
    <row r="27" spans="1:22">
      <c r="A27" s="17" t="s">
        <v>129</v>
      </c>
      <c r="B27" s="17" t="s">
        <v>145</v>
      </c>
      <c r="C27" s="17" t="s">
        <v>414</v>
      </c>
      <c r="D27" s="17" t="s">
        <v>124</v>
      </c>
      <c r="E27" s="18">
        <v>43</v>
      </c>
      <c r="F27" s="17" t="s">
        <v>139</v>
      </c>
      <c r="G27" s="18">
        <v>0</v>
      </c>
      <c r="H27" s="18">
        <v>2212</v>
      </c>
      <c r="I27" s="17" t="s">
        <v>415</v>
      </c>
      <c r="J27" s="17" t="s">
        <v>49</v>
      </c>
      <c r="K27" s="17" t="s">
        <v>312</v>
      </c>
      <c r="L27" s="17" t="s">
        <v>108</v>
      </c>
      <c r="M27" s="17" t="s">
        <v>16</v>
      </c>
      <c r="N27" s="19">
        <v>46049.59722222222</v>
      </c>
      <c r="O27" s="17" t="s">
        <v>133</v>
      </c>
      <c r="P27" s="17" t="s">
        <v>416</v>
      </c>
      <c r="Q27" s="17" t="s">
        <v>417</v>
      </c>
      <c r="R27" s="17" t="s">
        <v>99</v>
      </c>
      <c r="S27" s="17" t="s">
        <v>315</v>
      </c>
      <c r="T27" s="19">
        <v>46057.73541666667</v>
      </c>
      <c r="U27" s="17" t="s">
        <v>315</v>
      </c>
      <c r="V27" s="19">
        <v>46057.73541666667</v>
      </c>
    </row>
    <row r="28" spans="1:22">
      <c r="A28" s="17" t="s">
        <v>129</v>
      </c>
      <c r="B28" s="17" t="s">
        <v>143</v>
      </c>
      <c r="C28" s="17" t="s">
        <v>418</v>
      </c>
      <c r="D28" s="17" t="s">
        <v>125</v>
      </c>
      <c r="E28" s="18">
        <v>35</v>
      </c>
      <c r="F28" s="17" t="s">
        <v>139</v>
      </c>
      <c r="G28" s="18">
        <v>0</v>
      </c>
      <c r="H28" s="18">
        <v>2211</v>
      </c>
      <c r="I28" s="17" t="s">
        <v>419</v>
      </c>
      <c r="J28" s="17" t="s">
        <v>72</v>
      </c>
      <c r="K28" s="17" t="s">
        <v>317</v>
      </c>
      <c r="L28" s="17" t="s">
        <v>106</v>
      </c>
      <c r="M28" s="17" t="s">
        <v>7</v>
      </c>
      <c r="N28" s="19">
        <v>46057</v>
      </c>
      <c r="O28" s="17" t="s">
        <v>133</v>
      </c>
      <c r="P28" s="17" t="s">
        <v>420</v>
      </c>
      <c r="Q28" s="17" t="s">
        <v>421</v>
      </c>
      <c r="R28" s="17" t="s">
        <v>99</v>
      </c>
      <c r="S28" s="17" t="s">
        <v>315</v>
      </c>
      <c r="T28" s="19">
        <v>46057.68680555555</v>
      </c>
      <c r="U28" s="17" t="s">
        <v>315</v>
      </c>
      <c r="V28" s="19">
        <v>46057.68680555555</v>
      </c>
    </row>
    <row r="29" spans="1:22">
      <c r="A29" s="17" t="s">
        <v>129</v>
      </c>
      <c r="B29" s="17" t="s">
        <v>141</v>
      </c>
      <c r="C29" s="17" t="s">
        <v>418</v>
      </c>
      <c r="D29" s="17" t="s">
        <v>125</v>
      </c>
      <c r="E29" s="18">
        <v>35</v>
      </c>
      <c r="F29" s="17" t="s">
        <v>139</v>
      </c>
      <c r="G29" s="18">
        <v>0</v>
      </c>
      <c r="H29" s="18">
        <v>2210</v>
      </c>
      <c r="I29" s="17" t="s">
        <v>422</v>
      </c>
      <c r="J29" s="17" t="s">
        <v>62</v>
      </c>
      <c r="K29" s="17" t="s">
        <v>395</v>
      </c>
      <c r="L29" s="17" t="s">
        <v>104</v>
      </c>
      <c r="M29" s="17" t="s">
        <v>8</v>
      </c>
      <c r="N29" s="19">
        <v>46057.59027777778</v>
      </c>
      <c r="O29" s="17" t="s">
        <v>133</v>
      </c>
      <c r="P29" s="17" t="s">
        <v>423</v>
      </c>
      <c r="Q29" s="17" t="s">
        <v>424</v>
      </c>
      <c r="R29" s="17" t="s">
        <v>99</v>
      </c>
      <c r="S29" s="17" t="s">
        <v>315</v>
      </c>
      <c r="T29" s="19">
        <v>46057.68263888889</v>
      </c>
      <c r="U29" s="17" t="s">
        <v>315</v>
      </c>
      <c r="V29" s="19">
        <v>46057.68263888889</v>
      </c>
    </row>
    <row r="30" spans="1:22">
      <c r="A30" s="17" t="s">
        <v>130</v>
      </c>
      <c r="B30" s="17" t="s">
        <v>142</v>
      </c>
      <c r="C30" s="17" t="s">
        <v>418</v>
      </c>
      <c r="D30" s="17" t="s">
        <v>125</v>
      </c>
      <c r="E30" s="18">
        <v>35</v>
      </c>
      <c r="F30" s="17" t="s">
        <v>139</v>
      </c>
      <c r="G30" s="18">
        <v>0</v>
      </c>
      <c r="H30" s="18">
        <v>2209</v>
      </c>
      <c r="I30" s="17" t="s">
        <v>425</v>
      </c>
      <c r="J30" s="17" t="s">
        <v>63</v>
      </c>
      <c r="K30" s="17" t="s">
        <v>321</v>
      </c>
      <c r="L30" s="17" t="s">
        <v>105</v>
      </c>
      <c r="M30" s="17" t="s">
        <v>6</v>
      </c>
      <c r="N30" s="19">
        <v>46057.5625</v>
      </c>
      <c r="O30" s="17" t="s">
        <v>133</v>
      </c>
      <c r="P30" s="17" t="s">
        <v>426</v>
      </c>
      <c r="Q30" s="17" t="s">
        <v>427</v>
      </c>
      <c r="R30" s="17" t="s">
        <v>99</v>
      </c>
      <c r="S30" s="17" t="s">
        <v>315</v>
      </c>
      <c r="T30" s="19">
        <v>46057.67777777778</v>
      </c>
      <c r="U30" s="17" t="s">
        <v>315</v>
      </c>
      <c r="V30" s="19">
        <v>46057.67777777778</v>
      </c>
    </row>
    <row r="31" spans="1:22">
      <c r="A31" s="17" t="s">
        <v>129</v>
      </c>
      <c r="B31" s="17" t="s">
        <v>141</v>
      </c>
      <c r="C31" s="17" t="s">
        <v>418</v>
      </c>
      <c r="D31" s="17" t="s">
        <v>125</v>
      </c>
      <c r="E31" s="18">
        <v>35</v>
      </c>
      <c r="F31" s="17" t="s">
        <v>139</v>
      </c>
      <c r="G31" s="18">
        <v>0</v>
      </c>
      <c r="H31" s="18">
        <v>2208</v>
      </c>
      <c r="I31" s="17" t="s">
        <v>428</v>
      </c>
      <c r="J31" s="17" t="s">
        <v>34</v>
      </c>
      <c r="K31" s="17" t="s">
        <v>352</v>
      </c>
      <c r="L31" s="17" t="s">
        <v>104</v>
      </c>
      <c r="M31" s="17" t="s">
        <v>20</v>
      </c>
      <c r="N31" s="19">
        <v>46057.25</v>
      </c>
      <c r="O31" s="17" t="s">
        <v>133</v>
      </c>
      <c r="P31" s="17" t="s">
        <v>429</v>
      </c>
      <c r="Q31" s="17" t="s">
        <v>430</v>
      </c>
      <c r="R31" s="17" t="s">
        <v>99</v>
      </c>
      <c r="S31" s="17" t="s">
        <v>315</v>
      </c>
      <c r="T31" s="19">
        <v>46057.67291666667</v>
      </c>
      <c r="U31" s="17" t="s">
        <v>315</v>
      </c>
      <c r="V31" s="19">
        <v>46057.67291666667</v>
      </c>
    </row>
    <row r="32" spans="1:22">
      <c r="A32" s="17" t="s">
        <v>129</v>
      </c>
      <c r="B32" s="17" t="s">
        <v>141</v>
      </c>
      <c r="C32" s="17" t="s">
        <v>431</v>
      </c>
      <c r="D32" s="17" t="s">
        <v>125</v>
      </c>
      <c r="E32" s="18">
        <v>36</v>
      </c>
      <c r="F32" s="17" t="s">
        <v>139</v>
      </c>
      <c r="G32" s="18">
        <v>0</v>
      </c>
      <c r="H32" s="18">
        <v>2205</v>
      </c>
      <c r="I32" s="17" t="s">
        <v>432</v>
      </c>
      <c r="J32" s="17" t="s">
        <v>66</v>
      </c>
      <c r="K32" s="17" t="s">
        <v>433</v>
      </c>
      <c r="L32" s="17" t="s">
        <v>104</v>
      </c>
      <c r="M32" s="17" t="s">
        <v>18</v>
      </c>
      <c r="N32" s="19">
        <v>46056.71527777778</v>
      </c>
      <c r="O32" s="17" t="s">
        <v>132</v>
      </c>
      <c r="P32" s="17" t="s">
        <v>434</v>
      </c>
      <c r="Q32" s="17" t="s">
        <v>435</v>
      </c>
      <c r="R32" s="17" t="s">
        <v>99</v>
      </c>
      <c r="S32" s="17" t="s">
        <v>315</v>
      </c>
      <c r="T32" s="19">
        <v>46057.39930555555</v>
      </c>
      <c r="U32" s="17" t="s">
        <v>315</v>
      </c>
      <c r="V32" s="19">
        <v>46057.39930555555</v>
      </c>
    </row>
    <row r="33" spans="1:22">
      <c r="A33" s="17" t="s">
        <v>129</v>
      </c>
      <c r="B33" s="17" t="s">
        <v>141</v>
      </c>
      <c r="C33" s="17" t="s">
        <v>431</v>
      </c>
      <c r="D33" s="17" t="s">
        <v>125</v>
      </c>
      <c r="E33" s="18">
        <v>36</v>
      </c>
      <c r="F33" s="17" t="s">
        <v>139</v>
      </c>
      <c r="G33" s="18">
        <v>1</v>
      </c>
      <c r="H33" s="18">
        <v>2202</v>
      </c>
      <c r="I33" s="17" t="s">
        <v>436</v>
      </c>
      <c r="J33" s="17" t="s">
        <v>38</v>
      </c>
      <c r="K33" s="17" t="s">
        <v>352</v>
      </c>
      <c r="L33" s="17" t="s">
        <v>106</v>
      </c>
      <c r="M33" s="17" t="s">
        <v>19</v>
      </c>
      <c r="N33" s="19">
        <v>46056.64583333334</v>
      </c>
      <c r="O33" s="17" t="s">
        <v>133</v>
      </c>
      <c r="P33" s="17" t="s">
        <v>437</v>
      </c>
      <c r="Q33" s="17"/>
      <c r="R33" s="17" t="s">
        <v>98</v>
      </c>
      <c r="S33" s="17" t="s">
        <v>315</v>
      </c>
      <c r="T33" s="19">
        <v>46056.70625</v>
      </c>
      <c r="U33" s="17" t="s">
        <v>315</v>
      </c>
      <c r="V33" s="19">
        <v>46056.70625</v>
      </c>
    </row>
    <row r="34" spans="1:22">
      <c r="A34" s="17" t="s">
        <v>129</v>
      </c>
      <c r="B34" s="17" t="s">
        <v>141</v>
      </c>
      <c r="C34" s="17" t="s">
        <v>431</v>
      </c>
      <c r="D34" s="17" t="s">
        <v>125</v>
      </c>
      <c r="E34" s="18">
        <v>36</v>
      </c>
      <c r="F34" s="17" t="s">
        <v>139</v>
      </c>
      <c r="G34" s="18">
        <v>1</v>
      </c>
      <c r="H34" s="18">
        <v>2201</v>
      </c>
      <c r="I34" s="17" t="s">
        <v>438</v>
      </c>
      <c r="J34" s="17" t="s">
        <v>39</v>
      </c>
      <c r="K34" s="17" t="s">
        <v>439</v>
      </c>
      <c r="L34" s="17" t="s">
        <v>106</v>
      </c>
      <c r="M34" s="17" t="s">
        <v>19</v>
      </c>
      <c r="N34" s="19">
        <v>46056.61805555555</v>
      </c>
      <c r="O34" s="17" t="s">
        <v>133</v>
      </c>
      <c r="P34" s="17" t="s">
        <v>440</v>
      </c>
      <c r="Q34" s="17"/>
      <c r="R34" s="17" t="s">
        <v>98</v>
      </c>
      <c r="S34" s="17" t="s">
        <v>315</v>
      </c>
      <c r="T34" s="19">
        <v>46056.69444444445</v>
      </c>
      <c r="U34" s="17" t="s">
        <v>315</v>
      </c>
      <c r="V34" s="19">
        <v>46056.69444444445</v>
      </c>
    </row>
    <row r="35" spans="1:22">
      <c r="A35" s="17" t="s">
        <v>129</v>
      </c>
      <c r="B35" s="17" t="s">
        <v>141</v>
      </c>
      <c r="C35" s="17" t="s">
        <v>441</v>
      </c>
      <c r="D35" s="17" t="s">
        <v>125</v>
      </c>
      <c r="E35" s="18">
        <v>37</v>
      </c>
      <c r="F35" s="17" t="s">
        <v>139</v>
      </c>
      <c r="G35" s="18">
        <v>0</v>
      </c>
      <c r="H35" s="18">
        <v>2189</v>
      </c>
      <c r="I35" s="17" t="s">
        <v>442</v>
      </c>
      <c r="J35" s="17" t="s">
        <v>39</v>
      </c>
      <c r="K35" s="17" t="s">
        <v>241</v>
      </c>
      <c r="L35" s="17" t="s">
        <v>104</v>
      </c>
      <c r="M35" s="17" t="s">
        <v>8</v>
      </c>
      <c r="N35" s="19">
        <v>46055</v>
      </c>
      <c r="O35" s="17" t="s">
        <v>133</v>
      </c>
      <c r="P35" s="17" t="s">
        <v>443</v>
      </c>
      <c r="Q35" s="17" t="s">
        <v>444</v>
      </c>
      <c r="R35" s="17" t="s">
        <v>99</v>
      </c>
      <c r="S35" s="17" t="s">
        <v>315</v>
      </c>
      <c r="T35" s="19">
        <v>46055.73958333334</v>
      </c>
      <c r="U35" s="17" t="s">
        <v>315</v>
      </c>
      <c r="V35" s="19">
        <v>46055.73958333334</v>
      </c>
    </row>
    <row r="36" spans="1:22">
      <c r="A36" s="17" t="s">
        <v>129</v>
      </c>
      <c r="B36" s="17" t="s">
        <v>149</v>
      </c>
      <c r="C36" s="17" t="s">
        <v>445</v>
      </c>
      <c r="D36" s="17" t="s">
        <v>124</v>
      </c>
      <c r="E36" s="18">
        <v>42</v>
      </c>
      <c r="F36" s="17" t="s">
        <v>139</v>
      </c>
      <c r="G36" s="18">
        <v>0</v>
      </c>
      <c r="H36" s="18">
        <v>2167</v>
      </c>
      <c r="I36" s="17" t="s">
        <v>446</v>
      </c>
      <c r="J36" s="17" t="s">
        <v>62</v>
      </c>
      <c r="K36" s="17" t="s">
        <v>447</v>
      </c>
      <c r="L36" s="17" t="s">
        <v>104</v>
      </c>
      <c r="M36" s="17" t="s">
        <v>20</v>
      </c>
      <c r="N36" s="19">
        <v>46050.82638888889</v>
      </c>
      <c r="O36" s="17" t="s">
        <v>133</v>
      </c>
      <c r="P36" s="17" t="s">
        <v>448</v>
      </c>
      <c r="Q36" s="17" t="s">
        <v>449</v>
      </c>
      <c r="R36" s="17" t="s">
        <v>99</v>
      </c>
      <c r="S36" s="17" t="s">
        <v>315</v>
      </c>
      <c r="T36" s="19">
        <v>46051.52638888889</v>
      </c>
      <c r="U36" s="17" t="s">
        <v>315</v>
      </c>
      <c r="V36" s="19">
        <v>46051.52638888889</v>
      </c>
    </row>
    <row r="37" spans="1:22">
      <c r="A37" s="17" t="s">
        <v>129</v>
      </c>
      <c r="B37" s="17" t="s">
        <v>143</v>
      </c>
      <c r="C37" s="17" t="s">
        <v>398</v>
      </c>
      <c r="D37" s="17" t="s">
        <v>124</v>
      </c>
      <c r="E37" s="18">
        <v>41</v>
      </c>
      <c r="F37" s="17" t="s">
        <v>139</v>
      </c>
      <c r="G37" s="18">
        <v>0</v>
      </c>
      <c r="H37" s="18">
        <v>2163</v>
      </c>
      <c r="I37" s="17" t="s">
        <v>450</v>
      </c>
      <c r="J37" s="17" t="s">
        <v>56</v>
      </c>
      <c r="K37" s="17" t="s">
        <v>451</v>
      </c>
      <c r="L37" s="17" t="s">
        <v>106</v>
      </c>
      <c r="M37" s="17" t="s">
        <v>10</v>
      </c>
      <c r="N37" s="19">
        <v>46051.33333333334</v>
      </c>
      <c r="O37" s="17" t="s">
        <v>133</v>
      </c>
      <c r="P37" s="17" t="s">
        <v>452</v>
      </c>
      <c r="Q37" s="17" t="s">
        <v>453</v>
      </c>
      <c r="R37" s="17" t="s">
        <v>99</v>
      </c>
      <c r="S37" s="17" t="s">
        <v>315</v>
      </c>
      <c r="T37" s="19">
        <v>46051.40625</v>
      </c>
      <c r="U37" s="17" t="s">
        <v>315</v>
      </c>
      <c r="V37" s="19">
        <v>46051.40625</v>
      </c>
    </row>
    <row r="38" spans="1:22">
      <c r="A38" s="17" t="s">
        <v>129</v>
      </c>
      <c r="B38" s="17" t="s">
        <v>146</v>
      </c>
      <c r="C38" s="17" t="s">
        <v>445</v>
      </c>
      <c r="D38" s="17" t="s">
        <v>124</v>
      </c>
      <c r="E38" s="18">
        <v>42</v>
      </c>
      <c r="F38" s="17" t="s">
        <v>139</v>
      </c>
      <c r="G38" s="18">
        <v>0</v>
      </c>
      <c r="H38" s="18">
        <v>2160</v>
      </c>
      <c r="I38" s="17" t="s">
        <v>454</v>
      </c>
      <c r="J38" s="17" t="s">
        <v>30</v>
      </c>
      <c r="K38" s="17" t="s">
        <v>288</v>
      </c>
      <c r="L38" s="17" t="s">
        <v>104</v>
      </c>
      <c r="M38" s="17" t="s">
        <v>20</v>
      </c>
      <c r="N38" s="19">
        <v>46050.4375</v>
      </c>
      <c r="O38" s="17" t="s">
        <v>133</v>
      </c>
      <c r="P38" s="17" t="s">
        <v>455</v>
      </c>
      <c r="Q38" s="17" t="s">
        <v>456</v>
      </c>
      <c r="R38" s="17" t="s">
        <v>99</v>
      </c>
      <c r="S38" s="17" t="s">
        <v>342</v>
      </c>
      <c r="T38" s="19">
        <v>46050.65555555555</v>
      </c>
      <c r="U38" s="17" t="s">
        <v>342</v>
      </c>
      <c r="V38" s="19">
        <v>46050.65555555555</v>
      </c>
    </row>
    <row r="39" spans="1:22">
      <c r="A39" s="17" t="s">
        <v>130</v>
      </c>
      <c r="B39" s="17" t="s">
        <v>144</v>
      </c>
      <c r="C39" s="17" t="s">
        <v>414</v>
      </c>
      <c r="D39" s="17" t="s">
        <v>124</v>
      </c>
      <c r="E39" s="18">
        <v>43</v>
      </c>
      <c r="F39" s="17" t="s">
        <v>139</v>
      </c>
      <c r="G39" s="18">
        <v>0</v>
      </c>
      <c r="H39" s="18">
        <v>2151</v>
      </c>
      <c r="I39" s="17" t="s">
        <v>457</v>
      </c>
      <c r="J39" s="17" t="s">
        <v>62</v>
      </c>
      <c r="K39" s="17" t="s">
        <v>348</v>
      </c>
      <c r="L39" s="17" t="s">
        <v>104</v>
      </c>
      <c r="M39" s="17" t="s">
        <v>3</v>
      </c>
      <c r="N39" s="19">
        <v>46049.625</v>
      </c>
      <c r="O39" s="17" t="s">
        <v>133</v>
      </c>
      <c r="P39" s="17" t="s">
        <v>458</v>
      </c>
      <c r="Q39" s="17" t="s">
        <v>459</v>
      </c>
      <c r="R39" s="17" t="s">
        <v>99</v>
      </c>
      <c r="S39" s="17" t="s">
        <v>342</v>
      </c>
      <c r="T39" s="19">
        <v>46049.77916666667</v>
      </c>
      <c r="U39" s="17" t="s">
        <v>342</v>
      </c>
      <c r="V39" s="19">
        <v>46049.77916666667</v>
      </c>
    </row>
    <row r="40" spans="1:22">
      <c r="A40" s="17" t="s">
        <v>129</v>
      </c>
      <c r="B40" s="17" t="s">
        <v>148</v>
      </c>
      <c r="C40" s="17" t="s">
        <v>460</v>
      </c>
      <c r="D40" s="17" t="s">
        <v>124</v>
      </c>
      <c r="E40" s="18">
        <v>44</v>
      </c>
      <c r="F40" s="17" t="s">
        <v>139</v>
      </c>
      <c r="G40" s="18">
        <v>0</v>
      </c>
      <c r="H40" s="18">
        <v>2148</v>
      </c>
      <c r="I40" s="17" t="s">
        <v>461</v>
      </c>
      <c r="J40" s="17" t="s">
        <v>44</v>
      </c>
      <c r="K40" s="17" t="s">
        <v>462</v>
      </c>
      <c r="L40" s="17" t="s">
        <v>104</v>
      </c>
      <c r="M40" s="17" t="s">
        <v>8</v>
      </c>
      <c r="N40" s="19">
        <v>46048.81944444445</v>
      </c>
      <c r="O40" s="17" t="s">
        <v>133</v>
      </c>
      <c r="P40" s="17" t="s">
        <v>463</v>
      </c>
      <c r="Q40" s="17" t="s">
        <v>464</v>
      </c>
      <c r="R40" s="17" t="s">
        <v>99</v>
      </c>
      <c r="S40" s="17" t="s">
        <v>315</v>
      </c>
      <c r="T40" s="19">
        <v>46049.41180555556</v>
      </c>
      <c r="U40" s="17" t="s">
        <v>315</v>
      </c>
      <c r="V40" s="19">
        <v>46049.41180555556</v>
      </c>
    </row>
    <row r="41" spans="1:22">
      <c r="A41" s="17" t="s">
        <v>130</v>
      </c>
      <c r="B41" s="17" t="s">
        <v>142</v>
      </c>
      <c r="C41" s="17" t="s">
        <v>460</v>
      </c>
      <c r="D41" s="17" t="s">
        <v>124</v>
      </c>
      <c r="E41" s="18">
        <v>44</v>
      </c>
      <c r="F41" s="17" t="s">
        <v>139</v>
      </c>
      <c r="G41" s="18">
        <v>0</v>
      </c>
      <c r="H41" s="18">
        <v>2147</v>
      </c>
      <c r="I41" s="17" t="s">
        <v>465</v>
      </c>
      <c r="J41" s="17" t="s">
        <v>40</v>
      </c>
      <c r="K41" s="17" t="s">
        <v>466</v>
      </c>
      <c r="L41" s="17" t="s">
        <v>105</v>
      </c>
      <c r="M41" s="17" t="s">
        <v>25</v>
      </c>
      <c r="N41" s="19">
        <v>46048.52083333334</v>
      </c>
      <c r="O41" s="17" t="s">
        <v>133</v>
      </c>
      <c r="P41" s="17" t="s">
        <v>467</v>
      </c>
      <c r="Q41" s="17" t="s">
        <v>468</v>
      </c>
      <c r="R41" s="17" t="s">
        <v>99</v>
      </c>
      <c r="S41" s="17" t="s">
        <v>315</v>
      </c>
      <c r="T41" s="19">
        <v>46049.40902777778</v>
      </c>
      <c r="U41" s="17" t="s">
        <v>315</v>
      </c>
      <c r="V41" s="19">
        <v>46049.40902777778</v>
      </c>
    </row>
    <row r="42" spans="1:22">
      <c r="A42" s="17" t="s">
        <v>130</v>
      </c>
      <c r="B42" s="17" t="s">
        <v>144</v>
      </c>
      <c r="C42" s="17" t="s">
        <v>469</v>
      </c>
      <c r="D42" s="17" t="s">
        <v>124</v>
      </c>
      <c r="E42" s="18">
        <v>45</v>
      </c>
      <c r="F42" s="17" t="s">
        <v>139</v>
      </c>
      <c r="G42" s="18">
        <v>0</v>
      </c>
      <c r="H42" s="18">
        <v>2145</v>
      </c>
      <c r="I42" s="17" t="s">
        <v>470</v>
      </c>
      <c r="J42" s="17" t="s">
        <v>65</v>
      </c>
      <c r="K42" s="17" t="s">
        <v>335</v>
      </c>
      <c r="L42" s="17" t="s">
        <v>104</v>
      </c>
      <c r="M42" s="17" t="s">
        <v>8</v>
      </c>
      <c r="N42" s="19">
        <v>46047.45833333334</v>
      </c>
      <c r="O42" s="17" t="s">
        <v>133</v>
      </c>
      <c r="P42" s="17" t="s">
        <v>471</v>
      </c>
      <c r="Q42" s="17" t="s">
        <v>472</v>
      </c>
      <c r="R42" s="17" t="s">
        <v>99</v>
      </c>
      <c r="S42" s="17" t="s">
        <v>315</v>
      </c>
      <c r="T42" s="19">
        <v>46049.39722222222</v>
      </c>
      <c r="U42" s="17" t="s">
        <v>315</v>
      </c>
      <c r="V42" s="19">
        <v>46049.39722222222</v>
      </c>
    </row>
    <row r="43" spans="1:22">
      <c r="A43" s="17" t="s">
        <v>129</v>
      </c>
      <c r="B43" s="17" t="s">
        <v>143</v>
      </c>
      <c r="C43" s="17" t="s">
        <v>473</v>
      </c>
      <c r="D43" s="17" t="s">
        <v>124</v>
      </c>
      <c r="E43" s="18">
        <v>46</v>
      </c>
      <c r="F43" s="17" t="s">
        <v>139</v>
      </c>
      <c r="G43" s="18">
        <v>0</v>
      </c>
      <c r="H43" s="18">
        <v>2141</v>
      </c>
      <c r="I43" s="17" t="s">
        <v>474</v>
      </c>
      <c r="J43" s="17" t="s">
        <v>62</v>
      </c>
      <c r="K43" s="17" t="s">
        <v>475</v>
      </c>
      <c r="L43" s="17" t="s">
        <v>104</v>
      </c>
      <c r="M43" s="17" t="s">
        <v>22</v>
      </c>
      <c r="N43" s="19">
        <v>46046.52083333334</v>
      </c>
      <c r="O43" s="17" t="s">
        <v>133</v>
      </c>
      <c r="P43" s="17" t="s">
        <v>476</v>
      </c>
      <c r="Q43" s="17" t="s">
        <v>477</v>
      </c>
      <c r="R43" s="17" t="s">
        <v>99</v>
      </c>
      <c r="S43" s="17" t="s">
        <v>315</v>
      </c>
      <c r="T43" s="19">
        <v>46046.56597222222</v>
      </c>
      <c r="U43" s="17" t="s">
        <v>315</v>
      </c>
      <c r="V43" s="19">
        <v>46046.56597222222</v>
      </c>
    </row>
    <row r="44" spans="1:22">
      <c r="A44" s="17" t="s">
        <v>129</v>
      </c>
      <c r="B44" s="17" t="s">
        <v>141</v>
      </c>
      <c r="C44" s="17" t="s">
        <v>478</v>
      </c>
      <c r="D44" s="17" t="s">
        <v>124</v>
      </c>
      <c r="E44" s="18">
        <v>47</v>
      </c>
      <c r="F44" s="17" t="s">
        <v>139</v>
      </c>
      <c r="G44" s="18">
        <v>0</v>
      </c>
      <c r="H44" s="18">
        <v>2137</v>
      </c>
      <c r="I44" s="17" t="s">
        <v>479</v>
      </c>
      <c r="J44" s="17" t="s">
        <v>66</v>
      </c>
      <c r="K44" s="17" t="s">
        <v>433</v>
      </c>
      <c r="L44" s="17" t="s">
        <v>104</v>
      </c>
      <c r="M44" s="17" t="s">
        <v>4</v>
      </c>
      <c r="N44" s="19">
        <v>46045.86805555555</v>
      </c>
      <c r="O44" s="17" t="s">
        <v>133</v>
      </c>
      <c r="P44" s="17" t="s">
        <v>480</v>
      </c>
      <c r="Q44" s="17" t="s">
        <v>481</v>
      </c>
      <c r="R44" s="17" t="s">
        <v>99</v>
      </c>
      <c r="S44" s="17" t="s">
        <v>342</v>
      </c>
      <c r="T44" s="19">
        <v>46046.39652777778</v>
      </c>
      <c r="U44" s="17" t="s">
        <v>342</v>
      </c>
      <c r="V44" s="19">
        <v>46046.39652777778</v>
      </c>
    </row>
    <row r="45" spans="1:22">
      <c r="A45" s="17" t="s">
        <v>130</v>
      </c>
      <c r="B45" s="17" t="s">
        <v>142</v>
      </c>
      <c r="C45" s="17" t="s">
        <v>482</v>
      </c>
      <c r="D45" s="17" t="s">
        <v>124</v>
      </c>
      <c r="E45" s="18">
        <v>48</v>
      </c>
      <c r="F45" s="17" t="s">
        <v>139</v>
      </c>
      <c r="G45" s="18">
        <v>0</v>
      </c>
      <c r="H45" s="18">
        <v>2129</v>
      </c>
      <c r="I45" s="17" t="s">
        <v>483</v>
      </c>
      <c r="J45" s="17" t="s">
        <v>54</v>
      </c>
      <c r="K45" s="17" t="s">
        <v>484</v>
      </c>
      <c r="L45" s="17" t="s">
        <v>107</v>
      </c>
      <c r="M45" s="17" t="s">
        <v>14</v>
      </c>
      <c r="N45" s="19">
        <v>46044.44444444445</v>
      </c>
      <c r="O45" s="17" t="s">
        <v>133</v>
      </c>
      <c r="P45" s="17" t="s">
        <v>485</v>
      </c>
      <c r="Q45" s="17" t="s">
        <v>486</v>
      </c>
      <c r="R45" s="17" t="s">
        <v>99</v>
      </c>
      <c r="S45" s="17" t="s">
        <v>315</v>
      </c>
      <c r="T45" s="19">
        <v>46044.50763888889</v>
      </c>
      <c r="U45" s="17" t="s">
        <v>315</v>
      </c>
      <c r="V45" s="19">
        <v>46044.50763888889</v>
      </c>
    </row>
    <row r="46" spans="1:22">
      <c r="A46" s="17" t="s">
        <v>129</v>
      </c>
      <c r="B46" s="17" t="s">
        <v>149</v>
      </c>
      <c r="C46" s="17" t="s">
        <v>487</v>
      </c>
      <c r="D46" s="17" t="s">
        <v>124</v>
      </c>
      <c r="E46" s="18">
        <v>50</v>
      </c>
      <c r="F46" s="17" t="s">
        <v>139</v>
      </c>
      <c r="G46" s="18">
        <v>0</v>
      </c>
      <c r="H46" s="18">
        <v>2124</v>
      </c>
      <c r="I46" s="17" t="s">
        <v>488</v>
      </c>
      <c r="J46" s="17" t="s">
        <v>33</v>
      </c>
      <c r="K46" s="17" t="s">
        <v>447</v>
      </c>
      <c r="L46" s="17" t="s">
        <v>104</v>
      </c>
      <c r="M46" s="17" t="s">
        <v>8</v>
      </c>
      <c r="N46" s="19">
        <v>46042.75</v>
      </c>
      <c r="O46" s="17" t="s">
        <v>133</v>
      </c>
      <c r="P46" s="17" t="s">
        <v>489</v>
      </c>
      <c r="Q46" s="17" t="s">
        <v>490</v>
      </c>
      <c r="R46" s="17" t="s">
        <v>99</v>
      </c>
      <c r="S46" s="17" t="s">
        <v>315</v>
      </c>
      <c r="T46" s="19">
        <v>46043.72777777778</v>
      </c>
      <c r="U46" s="17" t="s">
        <v>315</v>
      </c>
      <c r="V46" s="19">
        <v>46043.72777777778</v>
      </c>
    </row>
    <row r="47" spans="1:22">
      <c r="A47" s="17" t="s">
        <v>129</v>
      </c>
      <c r="B47" s="17" t="s">
        <v>143</v>
      </c>
      <c r="C47" s="17" t="s">
        <v>491</v>
      </c>
      <c r="D47" s="17" t="s">
        <v>124</v>
      </c>
      <c r="E47" s="18">
        <v>49</v>
      </c>
      <c r="F47" s="17" t="s">
        <v>139</v>
      </c>
      <c r="G47" s="18">
        <v>0</v>
      </c>
      <c r="H47" s="18">
        <v>2121</v>
      </c>
      <c r="I47" s="17" t="s">
        <v>492</v>
      </c>
      <c r="J47" s="17" t="s">
        <v>72</v>
      </c>
      <c r="K47" s="17" t="s">
        <v>317</v>
      </c>
      <c r="L47" s="17" t="s">
        <v>104</v>
      </c>
      <c r="M47" s="17" t="s">
        <v>22</v>
      </c>
      <c r="N47" s="19">
        <v>46043.4375</v>
      </c>
      <c r="O47" s="17" t="s">
        <v>133</v>
      </c>
      <c r="P47" s="17" t="s">
        <v>493</v>
      </c>
      <c r="Q47" s="17" t="s">
        <v>494</v>
      </c>
      <c r="R47" s="17" t="s">
        <v>99</v>
      </c>
      <c r="S47" s="17" t="s">
        <v>315</v>
      </c>
      <c r="T47" s="19">
        <v>46043.46319444444</v>
      </c>
      <c r="U47" s="17" t="s">
        <v>315</v>
      </c>
      <c r="V47" s="19">
        <v>46043.46319444444</v>
      </c>
    </row>
    <row r="48" spans="1:22">
      <c r="A48" s="17" t="s">
        <v>130</v>
      </c>
      <c r="B48" s="17" t="s">
        <v>142</v>
      </c>
      <c r="C48" s="17" t="s">
        <v>495</v>
      </c>
      <c r="D48" s="17" t="s">
        <v>124</v>
      </c>
      <c r="E48" s="18">
        <v>58</v>
      </c>
      <c r="F48" s="17" t="s">
        <v>139</v>
      </c>
      <c r="G48" s="18">
        <v>0</v>
      </c>
      <c r="H48" s="18">
        <v>2079</v>
      </c>
      <c r="I48" s="17" t="s">
        <v>496</v>
      </c>
      <c r="J48" s="17" t="s">
        <v>52</v>
      </c>
      <c r="K48" s="17" t="s">
        <v>321</v>
      </c>
      <c r="L48" s="17" t="s">
        <v>104</v>
      </c>
      <c r="M48" s="17" t="s">
        <v>8</v>
      </c>
      <c r="N48" s="19">
        <v>46034.43055555555</v>
      </c>
      <c r="O48" s="17" t="s">
        <v>133</v>
      </c>
      <c r="P48" s="17" t="s">
        <v>497</v>
      </c>
      <c r="Q48" s="17" t="s">
        <v>498</v>
      </c>
      <c r="R48" s="17" t="s">
        <v>99</v>
      </c>
      <c r="S48" s="17" t="s">
        <v>315</v>
      </c>
      <c r="T48" s="19">
        <v>46034.47777777778</v>
      </c>
      <c r="U48" s="17" t="s">
        <v>315</v>
      </c>
      <c r="V48" s="19">
        <v>46034.47777777778</v>
      </c>
    </row>
    <row r="49" spans="1:22">
      <c r="A49" s="17" t="s">
        <v>130</v>
      </c>
      <c r="B49" s="17" t="s">
        <v>142</v>
      </c>
      <c r="C49" s="17" t="s">
        <v>495</v>
      </c>
      <c r="D49" s="17" t="s">
        <v>124</v>
      </c>
      <c r="E49" s="18">
        <v>58</v>
      </c>
      <c r="F49" s="17" t="s">
        <v>139</v>
      </c>
      <c r="G49" s="18">
        <v>0</v>
      </c>
      <c r="H49" s="18">
        <v>2078</v>
      </c>
      <c r="I49" s="17" t="s">
        <v>499</v>
      </c>
      <c r="J49" s="17" t="s">
        <v>40</v>
      </c>
      <c r="K49" s="17" t="s">
        <v>500</v>
      </c>
      <c r="L49" s="17" t="s">
        <v>104</v>
      </c>
      <c r="M49" s="17" t="s">
        <v>8</v>
      </c>
      <c r="N49" s="19">
        <v>46034.43055555555</v>
      </c>
      <c r="O49" s="17" t="s">
        <v>133</v>
      </c>
      <c r="P49" s="17" t="s">
        <v>501</v>
      </c>
      <c r="Q49" s="17" t="s">
        <v>502</v>
      </c>
      <c r="R49" s="17" t="s">
        <v>99</v>
      </c>
      <c r="S49" s="17" t="s">
        <v>315</v>
      </c>
      <c r="T49" s="19">
        <v>46034.47569444445</v>
      </c>
      <c r="U49" s="17" t="s">
        <v>315</v>
      </c>
      <c r="V49" s="19">
        <v>46034.47569444445</v>
      </c>
    </row>
    <row r="50" spans="1:22">
      <c r="A50" s="17" t="s">
        <v>129</v>
      </c>
      <c r="B50" s="17" t="s">
        <v>141</v>
      </c>
      <c r="C50" s="17" t="s">
        <v>503</v>
      </c>
      <c r="D50" s="17" t="s">
        <v>124</v>
      </c>
      <c r="E50" s="18">
        <v>60</v>
      </c>
      <c r="F50" s="17" t="s">
        <v>139</v>
      </c>
      <c r="G50" s="18">
        <v>0</v>
      </c>
      <c r="H50" s="18">
        <v>2077</v>
      </c>
      <c r="I50" s="17" t="s">
        <v>504</v>
      </c>
      <c r="J50" s="17" t="s">
        <v>59</v>
      </c>
      <c r="K50" s="17" t="s">
        <v>240</v>
      </c>
      <c r="L50" s="17" t="s">
        <v>104</v>
      </c>
      <c r="M50" s="17" t="s">
        <v>20</v>
      </c>
      <c r="N50" s="19">
        <v>46032.5625</v>
      </c>
      <c r="O50" s="17" t="s">
        <v>133</v>
      </c>
      <c r="P50" s="17" t="s">
        <v>505</v>
      </c>
      <c r="Q50" s="17" t="s">
        <v>506</v>
      </c>
      <c r="R50" s="17" t="s">
        <v>99</v>
      </c>
      <c r="S50" s="17" t="s">
        <v>315</v>
      </c>
      <c r="T50" s="19">
        <v>46034.39444444444</v>
      </c>
      <c r="U50" s="17" t="s">
        <v>315</v>
      </c>
      <c r="V50" s="19">
        <v>46034.39444444444</v>
      </c>
    </row>
    <row r="51" spans="1:22">
      <c r="A51" s="17" t="s">
        <v>129</v>
      </c>
      <c r="B51" s="17" t="s">
        <v>141</v>
      </c>
      <c r="C51" s="17" t="s">
        <v>507</v>
      </c>
      <c r="D51" s="17" t="s">
        <v>124</v>
      </c>
      <c r="E51" s="18">
        <v>61</v>
      </c>
      <c r="F51" s="17" t="s">
        <v>139</v>
      </c>
      <c r="G51" s="18">
        <v>0</v>
      </c>
      <c r="H51" s="18">
        <v>2074</v>
      </c>
      <c r="I51" s="17" t="s">
        <v>508</v>
      </c>
      <c r="J51" s="17" t="s">
        <v>59</v>
      </c>
      <c r="K51" s="17" t="s">
        <v>352</v>
      </c>
      <c r="L51" s="17" t="s">
        <v>105</v>
      </c>
      <c r="M51" s="17" t="s">
        <v>1</v>
      </c>
      <c r="N51" s="19">
        <v>46031.49305555555</v>
      </c>
      <c r="O51" s="17" t="s">
        <v>133</v>
      </c>
      <c r="P51" s="17" t="s">
        <v>509</v>
      </c>
      <c r="Q51" s="17" t="s">
        <v>510</v>
      </c>
      <c r="R51" s="17" t="s">
        <v>99</v>
      </c>
      <c r="S51" s="17" t="s">
        <v>315</v>
      </c>
      <c r="T51" s="19">
        <v>46031.50625</v>
      </c>
      <c r="U51" s="17" t="s">
        <v>315</v>
      </c>
      <c r="V51" s="19">
        <v>46031.50625</v>
      </c>
    </row>
    <row r="52" spans="1:22">
      <c r="A52" s="17" t="s">
        <v>129</v>
      </c>
      <c r="B52" s="17" t="s">
        <v>141</v>
      </c>
      <c r="C52" s="17" t="s">
        <v>511</v>
      </c>
      <c r="D52" s="17" t="s">
        <v>124</v>
      </c>
      <c r="E52" s="18">
        <v>62</v>
      </c>
      <c r="F52" s="17" t="s">
        <v>139</v>
      </c>
      <c r="G52" s="18">
        <v>0</v>
      </c>
      <c r="H52" s="18">
        <v>2072</v>
      </c>
      <c r="I52" s="17" t="s">
        <v>512</v>
      </c>
      <c r="J52" s="17" t="s">
        <v>59</v>
      </c>
      <c r="K52" s="17" t="s">
        <v>352</v>
      </c>
      <c r="L52" s="17" t="s">
        <v>104</v>
      </c>
      <c r="M52" s="17" t="s">
        <v>22</v>
      </c>
      <c r="N52" s="19">
        <v>46030.81944444445</v>
      </c>
      <c r="O52" s="17" t="s">
        <v>133</v>
      </c>
      <c r="P52" s="17" t="s">
        <v>513</v>
      </c>
      <c r="Q52" s="17" t="s">
        <v>514</v>
      </c>
      <c r="R52" s="17" t="s">
        <v>99</v>
      </c>
      <c r="S52" s="17" t="s">
        <v>315</v>
      </c>
      <c r="T52" s="19">
        <v>46031.41527777778</v>
      </c>
      <c r="U52" s="17" t="s">
        <v>315</v>
      </c>
      <c r="V52" s="19">
        <v>46031.41527777778</v>
      </c>
    </row>
    <row r="53" spans="1:22">
      <c r="A53" s="17" t="s">
        <v>129</v>
      </c>
      <c r="B53" s="17" t="s">
        <v>141</v>
      </c>
      <c r="C53" s="17" t="s">
        <v>511</v>
      </c>
      <c r="D53" s="17" t="s">
        <v>124</v>
      </c>
      <c r="E53" s="18">
        <v>62</v>
      </c>
      <c r="F53" s="17" t="s">
        <v>139</v>
      </c>
      <c r="G53" s="18">
        <v>0</v>
      </c>
      <c r="H53" s="18">
        <v>2067</v>
      </c>
      <c r="I53" s="17" t="s">
        <v>515</v>
      </c>
      <c r="J53" s="17" t="s">
        <v>59</v>
      </c>
      <c r="K53" s="17" t="s">
        <v>352</v>
      </c>
      <c r="L53" s="17" t="s">
        <v>104</v>
      </c>
      <c r="M53" s="17" t="s">
        <v>8</v>
      </c>
      <c r="N53" s="19">
        <v>46030.5</v>
      </c>
      <c r="O53" s="17" t="s">
        <v>132</v>
      </c>
      <c r="P53" s="17" t="s">
        <v>516</v>
      </c>
      <c r="Q53" s="17" t="s">
        <v>517</v>
      </c>
      <c r="R53" s="17" t="s">
        <v>99</v>
      </c>
      <c r="S53" s="17" t="s">
        <v>315</v>
      </c>
      <c r="T53" s="19">
        <v>46030.50833333333</v>
      </c>
      <c r="U53" s="17" t="s">
        <v>315</v>
      </c>
      <c r="V53" s="19">
        <v>46030.50833333333</v>
      </c>
    </row>
    <row r="54" spans="1:22">
      <c r="A54" s="17" t="s">
        <v>129</v>
      </c>
      <c r="B54" s="17" t="s">
        <v>145</v>
      </c>
      <c r="C54" s="17" t="s">
        <v>518</v>
      </c>
      <c r="D54" s="17" t="s">
        <v>124</v>
      </c>
      <c r="E54" s="18">
        <v>63</v>
      </c>
      <c r="F54" s="17" t="s">
        <v>139</v>
      </c>
      <c r="G54" s="18">
        <v>1</v>
      </c>
      <c r="H54" s="18">
        <v>2064</v>
      </c>
      <c r="I54" s="17" t="s">
        <v>519</v>
      </c>
      <c r="J54" s="17" t="s">
        <v>49</v>
      </c>
      <c r="K54" s="17" t="s">
        <v>312</v>
      </c>
      <c r="L54" s="17" t="s">
        <v>104</v>
      </c>
      <c r="M54" s="17" t="s">
        <v>3</v>
      </c>
      <c r="N54" s="19">
        <v>46029.50694444445</v>
      </c>
      <c r="O54" s="17" t="s">
        <v>133</v>
      </c>
      <c r="P54" s="17" t="s">
        <v>520</v>
      </c>
      <c r="Q54" s="17" t="s">
        <v>521</v>
      </c>
      <c r="R54" s="17" t="s">
        <v>100</v>
      </c>
      <c r="S54" s="17" t="s">
        <v>315</v>
      </c>
      <c r="T54" s="19">
        <v>46030.48194444444</v>
      </c>
      <c r="U54" s="17" t="s">
        <v>315</v>
      </c>
      <c r="V54" s="19">
        <v>46030.48194444444</v>
      </c>
    </row>
    <row r="55" spans="1:22">
      <c r="A55" s="17" t="s">
        <v>130</v>
      </c>
      <c r="B55" s="17" t="s">
        <v>144</v>
      </c>
      <c r="C55" s="17" t="s">
        <v>518</v>
      </c>
      <c r="D55" s="17" t="s">
        <v>124</v>
      </c>
      <c r="E55" s="18">
        <v>63</v>
      </c>
      <c r="F55" s="17" t="s">
        <v>139</v>
      </c>
      <c r="G55" s="18">
        <v>0</v>
      </c>
      <c r="H55" s="18">
        <v>2060</v>
      </c>
      <c r="I55" s="17" t="s">
        <v>522</v>
      </c>
      <c r="J55" s="17" t="s">
        <v>41</v>
      </c>
      <c r="K55" s="17" t="s">
        <v>348</v>
      </c>
      <c r="L55" s="17" t="s">
        <v>104</v>
      </c>
      <c r="M55" s="17" t="s">
        <v>22</v>
      </c>
      <c r="N55" s="19">
        <v>46029.45833333334</v>
      </c>
      <c r="O55" s="17" t="s">
        <v>133</v>
      </c>
      <c r="P55" s="17" t="s">
        <v>523</v>
      </c>
      <c r="Q55" s="17" t="s">
        <v>524</v>
      </c>
      <c r="R55" s="17" t="s">
        <v>99</v>
      </c>
      <c r="S55" s="17" t="s">
        <v>315</v>
      </c>
      <c r="T55" s="19">
        <v>46029.51527777778</v>
      </c>
      <c r="U55" s="17" t="s">
        <v>315</v>
      </c>
      <c r="V55" s="19">
        <v>46029.51527777778</v>
      </c>
    </row>
    <row r="56" spans="1:22">
      <c r="A56" s="17" t="s">
        <v>129</v>
      </c>
      <c r="B56" s="17" t="s">
        <v>145</v>
      </c>
      <c r="C56" s="17" t="s">
        <v>525</v>
      </c>
      <c r="D56" s="17" t="s">
        <v>124</v>
      </c>
      <c r="E56" s="18">
        <v>64</v>
      </c>
      <c r="F56" s="17" t="s">
        <v>139</v>
      </c>
      <c r="G56" s="18">
        <v>0</v>
      </c>
      <c r="H56" s="18">
        <v>2055</v>
      </c>
      <c r="I56" s="17" t="s">
        <v>526</v>
      </c>
      <c r="J56" s="17" t="s">
        <v>49</v>
      </c>
      <c r="K56" s="17" t="s">
        <v>312</v>
      </c>
      <c r="L56" s="17" t="s">
        <v>106</v>
      </c>
      <c r="M56" s="17" t="s">
        <v>7</v>
      </c>
      <c r="N56" s="19">
        <v>46028.45833333334</v>
      </c>
      <c r="O56" s="17" t="s">
        <v>133</v>
      </c>
      <c r="P56" s="17" t="s">
        <v>527</v>
      </c>
      <c r="Q56" s="17" t="s">
        <v>528</v>
      </c>
      <c r="R56" s="17" t="s">
        <v>99</v>
      </c>
      <c r="S56" s="17" t="s">
        <v>315</v>
      </c>
      <c r="T56" s="19">
        <v>46028.52013888889</v>
      </c>
      <c r="U56" s="17" t="s">
        <v>315</v>
      </c>
      <c r="V56" s="19">
        <v>46028.52013888889</v>
      </c>
    </row>
    <row r="57" spans="1:22">
      <c r="A57" s="17" t="s">
        <v>129</v>
      </c>
      <c r="B57" s="17" t="s">
        <v>147</v>
      </c>
      <c r="C57" s="17" t="s">
        <v>525</v>
      </c>
      <c r="D57" s="17" t="s">
        <v>124</v>
      </c>
      <c r="E57" s="18">
        <v>64</v>
      </c>
      <c r="F57" s="17" t="s">
        <v>139</v>
      </c>
      <c r="G57" s="18">
        <v>0</v>
      </c>
      <c r="H57" s="18">
        <v>2054</v>
      </c>
      <c r="I57" s="17" t="s">
        <v>529</v>
      </c>
      <c r="J57" s="17" t="s">
        <v>62</v>
      </c>
      <c r="K57" s="17" t="s">
        <v>530</v>
      </c>
      <c r="L57" s="17" t="s">
        <v>104</v>
      </c>
      <c r="M57" s="17" t="s">
        <v>20</v>
      </c>
      <c r="N57" s="19">
        <v>46028.39583333334</v>
      </c>
      <c r="O57" s="17" t="s">
        <v>133</v>
      </c>
      <c r="P57" s="17" t="s">
        <v>531</v>
      </c>
      <c r="Q57" s="17" t="s">
        <v>532</v>
      </c>
      <c r="R57" s="17" t="s">
        <v>99</v>
      </c>
      <c r="S57" s="17" t="s">
        <v>315</v>
      </c>
      <c r="T57" s="19">
        <v>46028.51736111111</v>
      </c>
      <c r="U57" s="17" t="s">
        <v>315</v>
      </c>
      <c r="V57" s="19">
        <v>46028.51736111111</v>
      </c>
    </row>
    <row r="58" spans="1:22">
      <c r="A58" s="17" t="s">
        <v>129</v>
      </c>
      <c r="B58" s="17" t="s">
        <v>141</v>
      </c>
      <c r="C58" s="17" t="s">
        <v>533</v>
      </c>
      <c r="D58" s="17" t="s">
        <v>124</v>
      </c>
      <c r="E58" s="18">
        <v>65</v>
      </c>
      <c r="F58" s="17" t="s">
        <v>139</v>
      </c>
      <c r="G58" s="18">
        <v>0</v>
      </c>
      <c r="H58" s="18">
        <v>2049</v>
      </c>
      <c r="I58" s="17" t="s">
        <v>534</v>
      </c>
      <c r="J58" s="17" t="s">
        <v>59</v>
      </c>
      <c r="K58" s="17" t="s">
        <v>352</v>
      </c>
      <c r="L58" s="17" t="s">
        <v>105</v>
      </c>
      <c r="M58" s="17" t="s">
        <v>1</v>
      </c>
      <c r="N58" s="19">
        <v>46027.85416666666</v>
      </c>
      <c r="O58" s="17" t="s">
        <v>132</v>
      </c>
      <c r="P58" s="17" t="s">
        <v>535</v>
      </c>
      <c r="Q58" s="17" t="s">
        <v>536</v>
      </c>
      <c r="R58" s="17" t="s">
        <v>99</v>
      </c>
      <c r="S58" s="17" t="s">
        <v>315</v>
      </c>
      <c r="T58" s="19">
        <v>46028.40416666667</v>
      </c>
      <c r="U58" s="17" t="s">
        <v>315</v>
      </c>
      <c r="V58" s="19">
        <v>46028.40416666667</v>
      </c>
    </row>
    <row r="59" spans="1:22">
      <c r="A59" s="17" t="s">
        <v>130</v>
      </c>
      <c r="B59" s="17" t="s">
        <v>142</v>
      </c>
      <c r="C59" s="17" t="s">
        <v>533</v>
      </c>
      <c r="D59" s="17" t="s">
        <v>124</v>
      </c>
      <c r="E59" s="18">
        <v>65</v>
      </c>
      <c r="F59" s="17" t="s">
        <v>139</v>
      </c>
      <c r="G59" s="18">
        <v>0</v>
      </c>
      <c r="H59" s="18">
        <v>2048</v>
      </c>
      <c r="I59" s="17" t="s">
        <v>537</v>
      </c>
      <c r="J59" s="17" t="s">
        <v>40</v>
      </c>
      <c r="K59" s="17" t="s">
        <v>500</v>
      </c>
      <c r="L59" s="17" t="s">
        <v>105</v>
      </c>
      <c r="M59" s="17" t="s">
        <v>6</v>
      </c>
      <c r="N59" s="19">
        <v>46027.83333333334</v>
      </c>
      <c r="O59" s="17" t="s">
        <v>133</v>
      </c>
      <c r="P59" s="17" t="s">
        <v>538</v>
      </c>
      <c r="Q59" s="17" t="s">
        <v>539</v>
      </c>
      <c r="R59" s="17" t="s">
        <v>99</v>
      </c>
      <c r="S59" s="17" t="s">
        <v>315</v>
      </c>
      <c r="T59" s="19">
        <v>46028.40069444444</v>
      </c>
      <c r="U59" s="17" t="s">
        <v>315</v>
      </c>
      <c r="V59" s="19">
        <v>46028.40069444444</v>
      </c>
    </row>
    <row r="60" spans="1:22">
      <c r="A60" s="17" t="s">
        <v>129</v>
      </c>
      <c r="B60" s="17" t="s">
        <v>141</v>
      </c>
      <c r="C60" s="17" t="s">
        <v>540</v>
      </c>
      <c r="D60" s="17" t="s">
        <v>124</v>
      </c>
      <c r="E60" s="18">
        <v>66</v>
      </c>
      <c r="F60" s="17" t="s">
        <v>139</v>
      </c>
      <c r="G60" s="18">
        <v>0</v>
      </c>
      <c r="H60" s="18">
        <v>2044</v>
      </c>
      <c r="I60" s="17" t="s">
        <v>541</v>
      </c>
      <c r="J60" s="17" t="s">
        <v>62</v>
      </c>
      <c r="K60" s="17" t="s">
        <v>352</v>
      </c>
      <c r="L60" s="17" t="s">
        <v>104</v>
      </c>
      <c r="M60" s="17" t="s">
        <v>20</v>
      </c>
      <c r="N60" s="19">
        <v>46026.41666666666</v>
      </c>
      <c r="O60" s="17" t="s">
        <v>133</v>
      </c>
      <c r="P60" s="17" t="s">
        <v>542</v>
      </c>
      <c r="Q60" s="17" t="s">
        <v>543</v>
      </c>
      <c r="R60" s="17" t="s">
        <v>99</v>
      </c>
      <c r="S60" s="17" t="s">
        <v>315</v>
      </c>
      <c r="T60" s="19">
        <v>46027.46388888889</v>
      </c>
      <c r="U60" s="17" t="s">
        <v>315</v>
      </c>
      <c r="V60" s="19">
        <v>46027.46388888889</v>
      </c>
    </row>
    <row r="61" spans="1:22">
      <c r="A61" s="17" t="s">
        <v>130</v>
      </c>
      <c r="B61" s="17" t="s">
        <v>144</v>
      </c>
      <c r="C61" s="17" t="s">
        <v>544</v>
      </c>
      <c r="D61" s="17" t="s">
        <v>123</v>
      </c>
      <c r="E61" s="18">
        <v>70</v>
      </c>
      <c r="F61" s="17" t="s">
        <v>139</v>
      </c>
      <c r="G61" s="18">
        <v>0</v>
      </c>
      <c r="H61" s="18">
        <v>2032</v>
      </c>
      <c r="I61" s="17" t="s">
        <v>545</v>
      </c>
      <c r="J61" s="17" t="s">
        <v>41</v>
      </c>
      <c r="K61" s="17" t="s">
        <v>348</v>
      </c>
      <c r="L61" s="17" t="s">
        <v>104</v>
      </c>
      <c r="M61" s="17" t="s">
        <v>22</v>
      </c>
      <c r="N61" s="19">
        <v>46022.47916666666</v>
      </c>
      <c r="O61" s="17" t="s">
        <v>133</v>
      </c>
      <c r="P61" s="17" t="s">
        <v>546</v>
      </c>
      <c r="Q61" s="17" t="s">
        <v>547</v>
      </c>
      <c r="R61" s="17" t="s">
        <v>99</v>
      </c>
      <c r="S61" s="17" t="s">
        <v>342</v>
      </c>
      <c r="T61" s="19">
        <v>46022.52222222222</v>
      </c>
      <c r="U61" s="17" t="s">
        <v>342</v>
      </c>
      <c r="V61" s="19">
        <v>46022.52222222222</v>
      </c>
    </row>
    <row r="62" spans="1:22">
      <c r="A62" s="17" t="s">
        <v>129</v>
      </c>
      <c r="B62" s="17" t="s">
        <v>141</v>
      </c>
      <c r="C62" s="17" t="s">
        <v>548</v>
      </c>
      <c r="D62" s="17" t="s">
        <v>123</v>
      </c>
      <c r="E62" s="18">
        <v>72</v>
      </c>
      <c r="F62" s="17" t="s">
        <v>139</v>
      </c>
      <c r="G62" s="18">
        <v>0</v>
      </c>
      <c r="H62" s="18">
        <v>2020</v>
      </c>
      <c r="I62" s="17" t="s">
        <v>549</v>
      </c>
      <c r="J62" s="17" t="s">
        <v>62</v>
      </c>
      <c r="K62" s="17" t="s">
        <v>352</v>
      </c>
      <c r="L62" s="17" t="s">
        <v>104</v>
      </c>
      <c r="M62" s="17" t="s">
        <v>4</v>
      </c>
      <c r="N62" s="19">
        <v>46020.01388888889</v>
      </c>
      <c r="O62" s="17" t="s">
        <v>133</v>
      </c>
      <c r="P62" s="17" t="s">
        <v>550</v>
      </c>
      <c r="Q62" s="17" t="s">
        <v>551</v>
      </c>
      <c r="R62" s="17" t="s">
        <v>99</v>
      </c>
      <c r="S62" s="17" t="s">
        <v>315</v>
      </c>
      <c r="T62" s="19">
        <v>46020.38541666666</v>
      </c>
      <c r="U62" s="17" t="s">
        <v>315</v>
      </c>
      <c r="V62" s="19">
        <v>46020.38541666666</v>
      </c>
    </row>
    <row r="63" spans="1:22">
      <c r="A63" s="17" t="s">
        <v>130</v>
      </c>
      <c r="B63" s="17" t="s">
        <v>142</v>
      </c>
      <c r="C63" s="17" t="s">
        <v>548</v>
      </c>
      <c r="D63" s="17" t="s">
        <v>123</v>
      </c>
      <c r="E63" s="18">
        <v>72</v>
      </c>
      <c r="F63" s="17" t="s">
        <v>139</v>
      </c>
      <c r="G63" s="18">
        <v>0</v>
      </c>
      <c r="H63" s="18">
        <v>2019</v>
      </c>
      <c r="I63" s="17" t="s">
        <v>552</v>
      </c>
      <c r="J63" s="17" t="s">
        <v>52</v>
      </c>
      <c r="K63" s="17" t="s">
        <v>553</v>
      </c>
      <c r="L63" s="17" t="s">
        <v>104</v>
      </c>
      <c r="M63" s="17" t="s">
        <v>8</v>
      </c>
      <c r="N63" s="19">
        <v>46020.3125</v>
      </c>
      <c r="O63" s="17" t="s">
        <v>133</v>
      </c>
      <c r="P63" s="17" t="s">
        <v>554</v>
      </c>
      <c r="Q63" s="17" t="s">
        <v>555</v>
      </c>
      <c r="R63" s="17" t="s">
        <v>99</v>
      </c>
      <c r="S63" s="17" t="s">
        <v>315</v>
      </c>
      <c r="T63" s="19">
        <v>46020.38263888889</v>
      </c>
      <c r="U63" s="17" t="s">
        <v>315</v>
      </c>
      <c r="V63" s="19">
        <v>46020.38263888889</v>
      </c>
    </row>
    <row r="64" spans="1:22">
      <c r="A64" s="17" t="s">
        <v>129</v>
      </c>
      <c r="B64" s="17" t="s">
        <v>141</v>
      </c>
      <c r="C64" s="17" t="s">
        <v>556</v>
      </c>
      <c r="D64" s="17" t="s">
        <v>123</v>
      </c>
      <c r="E64" s="18">
        <v>78</v>
      </c>
      <c r="F64" s="17" t="s">
        <v>139</v>
      </c>
      <c r="G64" s="18">
        <v>0</v>
      </c>
      <c r="H64" s="18">
        <v>2005</v>
      </c>
      <c r="I64" s="17" t="s">
        <v>557</v>
      </c>
      <c r="J64" s="17" t="s">
        <v>62</v>
      </c>
      <c r="K64" s="17" t="s">
        <v>352</v>
      </c>
      <c r="L64" s="17" t="s">
        <v>17</v>
      </c>
      <c r="M64" s="17" t="s">
        <v>17</v>
      </c>
      <c r="N64" s="19">
        <v>46014.77083333334</v>
      </c>
      <c r="O64" s="17" t="s">
        <v>133</v>
      </c>
      <c r="P64" s="17" t="s">
        <v>558</v>
      </c>
      <c r="Q64" s="17" t="s">
        <v>559</v>
      </c>
      <c r="R64" s="17" t="s">
        <v>99</v>
      </c>
      <c r="S64" s="17" t="s">
        <v>560</v>
      </c>
      <c r="T64" s="19">
        <v>46014.96458333333</v>
      </c>
      <c r="U64" s="17" t="s">
        <v>560</v>
      </c>
      <c r="V64" s="19">
        <v>46014.96458333333</v>
      </c>
    </row>
    <row r="65" spans="1:22">
      <c r="A65" s="17" t="s">
        <v>130</v>
      </c>
      <c r="B65" s="17" t="s">
        <v>144</v>
      </c>
      <c r="C65" s="17" t="s">
        <v>561</v>
      </c>
      <c r="D65" s="17" t="s">
        <v>123</v>
      </c>
      <c r="E65" s="18">
        <v>79</v>
      </c>
      <c r="F65" s="17" t="s">
        <v>139</v>
      </c>
      <c r="G65" s="18">
        <v>0</v>
      </c>
      <c r="H65" s="18">
        <v>1995</v>
      </c>
      <c r="I65" s="17" t="s">
        <v>562</v>
      </c>
      <c r="J65" s="17" t="s">
        <v>62</v>
      </c>
      <c r="K65" s="17" t="s">
        <v>348</v>
      </c>
      <c r="L65" s="17" t="s">
        <v>106</v>
      </c>
      <c r="M65" s="17" t="s">
        <v>21</v>
      </c>
      <c r="N65" s="19">
        <v>46013.47916666666</v>
      </c>
      <c r="O65" s="17" t="s">
        <v>133</v>
      </c>
      <c r="P65" s="17" t="s">
        <v>563</v>
      </c>
      <c r="Q65" s="17" t="s">
        <v>564</v>
      </c>
      <c r="R65" s="17" t="s">
        <v>99</v>
      </c>
      <c r="S65" s="17" t="s">
        <v>342</v>
      </c>
      <c r="T65" s="19">
        <v>46013.63333333333</v>
      </c>
      <c r="U65" s="17" t="s">
        <v>342</v>
      </c>
      <c r="V65" s="19">
        <v>46013.63333333333</v>
      </c>
    </row>
    <row r="66" spans="1:22">
      <c r="A66" s="17" t="s">
        <v>129</v>
      </c>
      <c r="B66" s="17" t="s">
        <v>143</v>
      </c>
      <c r="C66" s="17" t="s">
        <v>561</v>
      </c>
      <c r="D66" s="17" t="s">
        <v>123</v>
      </c>
      <c r="E66" s="18">
        <v>79</v>
      </c>
      <c r="F66" s="17" t="s">
        <v>139</v>
      </c>
      <c r="G66" s="18">
        <v>0</v>
      </c>
      <c r="H66" s="18">
        <v>1994</v>
      </c>
      <c r="I66" s="17" t="s">
        <v>565</v>
      </c>
      <c r="J66" s="17" t="s">
        <v>56</v>
      </c>
      <c r="K66" s="17" t="s">
        <v>360</v>
      </c>
      <c r="L66" s="17" t="s">
        <v>104</v>
      </c>
      <c r="M66" s="17" t="s">
        <v>20</v>
      </c>
      <c r="N66" s="19">
        <v>46013.55555555555</v>
      </c>
      <c r="O66" s="17" t="s">
        <v>133</v>
      </c>
      <c r="P66" s="17" t="s">
        <v>566</v>
      </c>
      <c r="Q66" s="17" t="s">
        <v>567</v>
      </c>
      <c r="R66" s="17" t="s">
        <v>99</v>
      </c>
      <c r="S66" s="17" t="s">
        <v>342</v>
      </c>
      <c r="T66" s="19">
        <v>46013.62986111111</v>
      </c>
      <c r="U66" s="17" t="s">
        <v>342</v>
      </c>
      <c r="V66" s="19">
        <v>46013.62986111111</v>
      </c>
    </row>
    <row r="67" spans="1:22">
      <c r="A67" s="17" t="s">
        <v>129</v>
      </c>
      <c r="B67" s="17" t="s">
        <v>143</v>
      </c>
      <c r="C67" s="17" t="s">
        <v>561</v>
      </c>
      <c r="D67" s="17" t="s">
        <v>123</v>
      </c>
      <c r="E67" s="18">
        <v>79</v>
      </c>
      <c r="F67" s="17" t="s">
        <v>139</v>
      </c>
      <c r="G67" s="18">
        <v>0</v>
      </c>
      <c r="H67" s="18">
        <v>1993</v>
      </c>
      <c r="I67" s="17" t="s">
        <v>568</v>
      </c>
      <c r="J67" s="17" t="s">
        <v>62</v>
      </c>
      <c r="K67" s="17" t="s">
        <v>330</v>
      </c>
      <c r="L67" s="17" t="s">
        <v>107</v>
      </c>
      <c r="M67" s="17" t="s">
        <v>14</v>
      </c>
      <c r="N67" s="19">
        <v>46013.5</v>
      </c>
      <c r="O67" s="17" t="s">
        <v>133</v>
      </c>
      <c r="P67" s="17" t="s">
        <v>569</v>
      </c>
      <c r="Q67" s="17" t="s">
        <v>570</v>
      </c>
      <c r="R67" s="17" t="s">
        <v>99</v>
      </c>
      <c r="S67" s="17" t="s">
        <v>342</v>
      </c>
      <c r="T67" s="19">
        <v>46013.5375</v>
      </c>
      <c r="U67" s="17" t="s">
        <v>342</v>
      </c>
      <c r="V67" s="19">
        <v>46013.5375</v>
      </c>
    </row>
    <row r="68" spans="1:22">
      <c r="A68" s="17" t="s">
        <v>130</v>
      </c>
      <c r="B68" s="17" t="s">
        <v>142</v>
      </c>
      <c r="C68" s="17" t="s">
        <v>571</v>
      </c>
      <c r="D68" s="17" t="s">
        <v>123</v>
      </c>
      <c r="E68" s="18">
        <v>82</v>
      </c>
      <c r="F68" s="17" t="s">
        <v>139</v>
      </c>
      <c r="G68" s="18">
        <v>0</v>
      </c>
      <c r="H68" s="18">
        <v>1985</v>
      </c>
      <c r="I68" s="17" t="s">
        <v>572</v>
      </c>
      <c r="J68" s="17" t="s">
        <v>73</v>
      </c>
      <c r="K68" s="17" t="s">
        <v>321</v>
      </c>
      <c r="L68" s="17" t="s">
        <v>104</v>
      </c>
      <c r="M68" s="17" t="s">
        <v>3</v>
      </c>
      <c r="N68" s="19">
        <v>46010.59027777778</v>
      </c>
      <c r="O68" s="17" t="s">
        <v>133</v>
      </c>
      <c r="P68" s="17" t="s">
        <v>573</v>
      </c>
      <c r="Q68" s="17" t="s">
        <v>574</v>
      </c>
      <c r="R68" s="17" t="s">
        <v>99</v>
      </c>
      <c r="S68" s="17" t="s">
        <v>342</v>
      </c>
      <c r="T68" s="19">
        <v>46010.76041666666</v>
      </c>
      <c r="U68" s="17" t="s">
        <v>342</v>
      </c>
      <c r="V68" s="19">
        <v>46010.76041666666</v>
      </c>
    </row>
    <row r="69" spans="1:22">
      <c r="A69" s="17" t="s">
        <v>129</v>
      </c>
      <c r="B69" s="17" t="s">
        <v>143</v>
      </c>
      <c r="C69" s="17" t="s">
        <v>575</v>
      </c>
      <c r="D69" s="17" t="s">
        <v>123</v>
      </c>
      <c r="E69" s="18">
        <v>83</v>
      </c>
      <c r="F69" s="17" t="s">
        <v>139</v>
      </c>
      <c r="G69" s="18">
        <v>0</v>
      </c>
      <c r="H69" s="18">
        <v>1980</v>
      </c>
      <c r="I69" s="17" t="s">
        <v>576</v>
      </c>
      <c r="J69" s="17" t="s">
        <v>36</v>
      </c>
      <c r="K69" s="17" t="s">
        <v>360</v>
      </c>
      <c r="L69" s="17" t="s">
        <v>104</v>
      </c>
      <c r="M69" s="17" t="s">
        <v>3</v>
      </c>
      <c r="N69" s="19">
        <v>46009.66666666666</v>
      </c>
      <c r="O69" s="17" t="s">
        <v>133</v>
      </c>
      <c r="P69" s="17" t="s">
        <v>577</v>
      </c>
      <c r="Q69" s="17" t="s">
        <v>578</v>
      </c>
      <c r="R69" s="17" t="s">
        <v>99</v>
      </c>
      <c r="S69" s="17" t="s">
        <v>579</v>
      </c>
      <c r="T69" s="19">
        <v>46009.79722222222</v>
      </c>
      <c r="U69" s="17" t="s">
        <v>579</v>
      </c>
      <c r="V69" s="19">
        <v>46009.79722222222</v>
      </c>
    </row>
    <row r="70" spans="1:22">
      <c r="A70" s="17" t="s">
        <v>129</v>
      </c>
      <c r="B70" s="17" t="s">
        <v>145</v>
      </c>
      <c r="C70" s="17" t="s">
        <v>575</v>
      </c>
      <c r="D70" s="17" t="s">
        <v>123</v>
      </c>
      <c r="E70" s="18">
        <v>83</v>
      </c>
      <c r="F70" s="17" t="s">
        <v>139</v>
      </c>
      <c r="G70" s="18">
        <v>0</v>
      </c>
      <c r="H70" s="18">
        <v>1978</v>
      </c>
      <c r="I70" s="17" t="s">
        <v>580</v>
      </c>
      <c r="J70" s="17" t="s">
        <v>60</v>
      </c>
      <c r="K70" s="17" t="s">
        <v>581</v>
      </c>
      <c r="L70" s="17" t="s">
        <v>107</v>
      </c>
      <c r="M70" s="17" t="s">
        <v>14</v>
      </c>
      <c r="N70" s="19">
        <v>46009.49305555555</v>
      </c>
      <c r="O70" s="17" t="s">
        <v>133</v>
      </c>
      <c r="P70" s="17" t="s">
        <v>582</v>
      </c>
      <c r="Q70" s="17" t="s">
        <v>583</v>
      </c>
      <c r="R70" s="17" t="s">
        <v>99</v>
      </c>
      <c r="S70" s="17" t="s">
        <v>579</v>
      </c>
      <c r="T70" s="19">
        <v>46009.78958333333</v>
      </c>
      <c r="U70" s="17" t="s">
        <v>579</v>
      </c>
      <c r="V70" s="19">
        <v>46009.78958333333</v>
      </c>
    </row>
    <row r="71" spans="1:22">
      <c r="A71" s="17" t="s">
        <v>130</v>
      </c>
      <c r="B71" s="17" t="s">
        <v>142</v>
      </c>
      <c r="C71" s="17" t="s">
        <v>584</v>
      </c>
      <c r="D71" s="17" t="s">
        <v>123</v>
      </c>
      <c r="E71" s="18">
        <v>85</v>
      </c>
      <c r="F71" s="17" t="s">
        <v>139</v>
      </c>
      <c r="G71" s="18">
        <v>0</v>
      </c>
      <c r="H71" s="18">
        <v>1974</v>
      </c>
      <c r="I71" s="17" t="s">
        <v>585</v>
      </c>
      <c r="J71" s="17" t="s">
        <v>62</v>
      </c>
      <c r="K71" s="17" t="s">
        <v>586</v>
      </c>
      <c r="L71" s="17" t="s">
        <v>104</v>
      </c>
      <c r="M71" s="17" t="s">
        <v>8</v>
      </c>
      <c r="N71" s="19">
        <v>46007.875</v>
      </c>
      <c r="O71" s="17" t="s">
        <v>133</v>
      </c>
      <c r="P71" s="17" t="s">
        <v>587</v>
      </c>
      <c r="Q71" s="17" t="s">
        <v>588</v>
      </c>
      <c r="R71" s="17" t="s">
        <v>99</v>
      </c>
      <c r="S71" s="17" t="s">
        <v>342</v>
      </c>
      <c r="T71" s="19">
        <v>46008.40833333333</v>
      </c>
      <c r="U71" s="17" t="s">
        <v>342</v>
      </c>
      <c r="V71" s="19">
        <v>46008.40833333333</v>
      </c>
    </row>
    <row r="72" spans="1:22">
      <c r="A72" s="17" t="s">
        <v>130</v>
      </c>
      <c r="B72" s="17" t="s">
        <v>142</v>
      </c>
      <c r="C72" s="17" t="s">
        <v>589</v>
      </c>
      <c r="D72" s="17" t="s">
        <v>123</v>
      </c>
      <c r="E72" s="18">
        <v>86</v>
      </c>
      <c r="F72" s="17" t="s">
        <v>139</v>
      </c>
      <c r="G72" s="18">
        <v>0</v>
      </c>
      <c r="H72" s="18">
        <v>1960</v>
      </c>
      <c r="I72" s="17" t="s">
        <v>590</v>
      </c>
      <c r="J72" s="17" t="s">
        <v>52</v>
      </c>
      <c r="K72" s="17" t="s">
        <v>553</v>
      </c>
      <c r="L72" s="17" t="s">
        <v>105</v>
      </c>
      <c r="M72" s="17" t="s">
        <v>1</v>
      </c>
      <c r="N72" s="19">
        <v>46006.59722222222</v>
      </c>
      <c r="O72" s="17" t="s">
        <v>133</v>
      </c>
      <c r="P72" s="17" t="s">
        <v>591</v>
      </c>
      <c r="Q72" s="17" t="s">
        <v>592</v>
      </c>
      <c r="R72" s="17" t="s">
        <v>99</v>
      </c>
      <c r="S72" s="17" t="s">
        <v>342</v>
      </c>
      <c r="T72" s="19">
        <v>46006.65833333333</v>
      </c>
      <c r="U72" s="17" t="s">
        <v>342</v>
      </c>
      <c r="V72" s="19">
        <v>46006.65833333333</v>
      </c>
    </row>
    <row r="73" spans="1:22">
      <c r="A73" s="17" t="s">
        <v>129</v>
      </c>
      <c r="B73" s="17" t="s">
        <v>145</v>
      </c>
      <c r="C73" s="17" t="s">
        <v>593</v>
      </c>
      <c r="D73" s="17" t="s">
        <v>123</v>
      </c>
      <c r="E73" s="18">
        <v>89</v>
      </c>
      <c r="F73" s="17" t="s">
        <v>139</v>
      </c>
      <c r="G73" s="18">
        <v>0</v>
      </c>
      <c r="H73" s="18">
        <v>1957</v>
      </c>
      <c r="I73" s="17" t="s">
        <v>594</v>
      </c>
      <c r="J73" s="17" t="s">
        <v>49</v>
      </c>
      <c r="K73" s="17" t="s">
        <v>312</v>
      </c>
      <c r="L73" s="17" t="s">
        <v>104</v>
      </c>
      <c r="M73" s="17" t="s">
        <v>8</v>
      </c>
      <c r="N73" s="19">
        <v>46003.72222222222</v>
      </c>
      <c r="O73" s="17" t="s">
        <v>133</v>
      </c>
      <c r="P73" s="17" t="s">
        <v>595</v>
      </c>
      <c r="Q73" s="17" t="s">
        <v>596</v>
      </c>
      <c r="R73" s="17" t="s">
        <v>99</v>
      </c>
      <c r="S73" s="17" t="s">
        <v>342</v>
      </c>
      <c r="T73" s="19">
        <v>46004.78472222222</v>
      </c>
      <c r="U73" s="17" t="s">
        <v>342</v>
      </c>
      <c r="V73" s="19">
        <v>46004.78472222222</v>
      </c>
    </row>
    <row r="74" spans="1:22">
      <c r="A74" s="17" t="s">
        <v>130</v>
      </c>
      <c r="B74" s="17" t="s">
        <v>142</v>
      </c>
      <c r="C74" s="17" t="s">
        <v>597</v>
      </c>
      <c r="D74" s="17" t="s">
        <v>123</v>
      </c>
      <c r="E74" s="18">
        <v>90</v>
      </c>
      <c r="F74" s="17" t="s">
        <v>139</v>
      </c>
      <c r="G74" s="18">
        <v>0</v>
      </c>
      <c r="H74" s="18">
        <v>1955</v>
      </c>
      <c r="I74" s="17" t="s">
        <v>598</v>
      </c>
      <c r="J74" s="17" t="s">
        <v>52</v>
      </c>
      <c r="K74" s="17" t="s">
        <v>553</v>
      </c>
      <c r="L74" s="17" t="s">
        <v>104</v>
      </c>
      <c r="M74" s="17" t="s">
        <v>20</v>
      </c>
      <c r="N74" s="19">
        <v>46002.64583333334</v>
      </c>
      <c r="O74" s="17" t="s">
        <v>133</v>
      </c>
      <c r="P74" s="17" t="s">
        <v>599</v>
      </c>
      <c r="Q74" s="17" t="s">
        <v>600</v>
      </c>
      <c r="R74" s="17" t="s">
        <v>99</v>
      </c>
      <c r="S74" s="17" t="s">
        <v>342</v>
      </c>
      <c r="T74" s="19">
        <v>46002.75694444445</v>
      </c>
      <c r="U74" s="17" t="s">
        <v>342</v>
      </c>
      <c r="V74" s="19">
        <v>46002.75694444445</v>
      </c>
    </row>
    <row r="75" spans="1:22">
      <c r="A75" s="17" t="s">
        <v>129</v>
      </c>
      <c r="B75" s="17" t="s">
        <v>143</v>
      </c>
      <c r="C75" s="17" t="s">
        <v>601</v>
      </c>
      <c r="D75" s="17" t="s">
        <v>123</v>
      </c>
      <c r="E75" s="18">
        <v>91</v>
      </c>
      <c r="F75" s="17" t="s">
        <v>139</v>
      </c>
      <c r="G75" s="18">
        <v>0</v>
      </c>
      <c r="H75" s="18">
        <v>1952</v>
      </c>
      <c r="I75" s="17" t="s">
        <v>602</v>
      </c>
      <c r="J75" s="17" t="s">
        <v>55</v>
      </c>
      <c r="K75" s="17" t="s">
        <v>330</v>
      </c>
      <c r="L75" s="17" t="s">
        <v>106</v>
      </c>
      <c r="M75" s="17" t="s">
        <v>10</v>
      </c>
      <c r="N75" s="19">
        <v>46001.55555555555</v>
      </c>
      <c r="O75" s="17" t="s">
        <v>133</v>
      </c>
      <c r="P75" s="17" t="s">
        <v>603</v>
      </c>
      <c r="Q75" s="17" t="s">
        <v>604</v>
      </c>
      <c r="R75" s="17" t="s">
        <v>99</v>
      </c>
      <c r="S75" s="17" t="s">
        <v>315</v>
      </c>
      <c r="T75" s="19">
        <v>46002.67847222222</v>
      </c>
      <c r="U75" s="17" t="s">
        <v>315</v>
      </c>
      <c r="V75" s="19">
        <v>46002.67847222222</v>
      </c>
    </row>
    <row r="76" spans="1:22">
      <c r="A76" s="17" t="s">
        <v>129</v>
      </c>
      <c r="B76" s="17" t="s">
        <v>145</v>
      </c>
      <c r="C76" s="17" t="s">
        <v>601</v>
      </c>
      <c r="D76" s="17" t="s">
        <v>123</v>
      </c>
      <c r="E76" s="18">
        <v>91</v>
      </c>
      <c r="F76" s="17" t="s">
        <v>139</v>
      </c>
      <c r="G76" s="18">
        <v>0</v>
      </c>
      <c r="H76" s="18">
        <v>1948</v>
      </c>
      <c r="I76" s="17" t="s">
        <v>605</v>
      </c>
      <c r="J76" s="17" t="s">
        <v>62</v>
      </c>
      <c r="K76" s="17" t="s">
        <v>312</v>
      </c>
      <c r="L76" s="17" t="s">
        <v>104</v>
      </c>
      <c r="M76" s="17" t="s">
        <v>8</v>
      </c>
      <c r="N76" s="19">
        <v>46001.00694444445</v>
      </c>
      <c r="O76" s="17" t="s">
        <v>133</v>
      </c>
      <c r="P76" s="17" t="s">
        <v>606</v>
      </c>
      <c r="Q76" s="17" t="s">
        <v>607</v>
      </c>
      <c r="R76" s="17" t="s">
        <v>99</v>
      </c>
      <c r="S76" s="17" t="s">
        <v>342</v>
      </c>
      <c r="T76" s="19">
        <v>46001.55277777778</v>
      </c>
      <c r="U76" s="17" t="s">
        <v>342</v>
      </c>
      <c r="V76" s="19">
        <v>46001.55277777778</v>
      </c>
    </row>
    <row r="77" spans="1:22">
      <c r="A77" s="17" t="s">
        <v>129</v>
      </c>
      <c r="B77" s="17" t="s">
        <v>141</v>
      </c>
      <c r="C77" s="17" t="s">
        <v>601</v>
      </c>
      <c r="D77" s="17" t="s">
        <v>123</v>
      </c>
      <c r="E77" s="18">
        <v>91</v>
      </c>
      <c r="F77" s="17" t="s">
        <v>139</v>
      </c>
      <c r="G77" s="18">
        <v>0</v>
      </c>
      <c r="H77" s="18">
        <v>1945</v>
      </c>
      <c r="I77" s="17" t="s">
        <v>608</v>
      </c>
      <c r="J77" s="17" t="s">
        <v>57</v>
      </c>
      <c r="K77" s="17" t="s">
        <v>352</v>
      </c>
      <c r="L77" s="17" t="s">
        <v>104</v>
      </c>
      <c r="M77" s="17" t="s">
        <v>22</v>
      </c>
      <c r="N77" s="19">
        <v>46001.45833333334</v>
      </c>
      <c r="O77" s="17" t="s">
        <v>133</v>
      </c>
      <c r="P77" s="17" t="s">
        <v>609</v>
      </c>
      <c r="Q77" s="17" t="s">
        <v>610</v>
      </c>
      <c r="R77" s="17" t="s">
        <v>99</v>
      </c>
      <c r="S77" s="17" t="s">
        <v>342</v>
      </c>
      <c r="T77" s="19">
        <v>46001.48680555556</v>
      </c>
      <c r="U77" s="17" t="s">
        <v>342</v>
      </c>
      <c r="V77" s="19">
        <v>46001.48680555556</v>
      </c>
    </row>
    <row r="78" spans="1:22">
      <c r="A78" s="17" t="s">
        <v>129</v>
      </c>
      <c r="B78" s="17" t="s">
        <v>145</v>
      </c>
      <c r="C78" s="17" t="s">
        <v>601</v>
      </c>
      <c r="D78" s="17" t="s">
        <v>123</v>
      </c>
      <c r="E78" s="18">
        <v>91</v>
      </c>
      <c r="F78" s="17" t="s">
        <v>139</v>
      </c>
      <c r="G78" s="18">
        <v>0</v>
      </c>
      <c r="H78" s="18">
        <v>1944</v>
      </c>
      <c r="I78" s="17" t="s">
        <v>611</v>
      </c>
      <c r="J78" s="17" t="s">
        <v>49</v>
      </c>
      <c r="K78" s="17" t="s">
        <v>312</v>
      </c>
      <c r="L78" s="17" t="s">
        <v>104</v>
      </c>
      <c r="M78" s="17" t="s">
        <v>8</v>
      </c>
      <c r="N78" s="19">
        <v>46001.45138888889</v>
      </c>
      <c r="O78" s="17" t="s">
        <v>133</v>
      </c>
      <c r="P78" s="17" t="s">
        <v>612</v>
      </c>
      <c r="Q78" s="17" t="s">
        <v>613</v>
      </c>
      <c r="R78" s="17" t="s">
        <v>99</v>
      </c>
      <c r="S78" s="17" t="s">
        <v>342</v>
      </c>
      <c r="T78" s="19">
        <v>46001.48333333333</v>
      </c>
      <c r="U78" s="17" t="s">
        <v>342</v>
      </c>
      <c r="V78" s="19">
        <v>46001.48333333333</v>
      </c>
    </row>
    <row r="79" spans="1:22">
      <c r="A79" s="17" t="s">
        <v>130</v>
      </c>
      <c r="B79" s="17" t="s">
        <v>142</v>
      </c>
      <c r="C79" s="17" t="s">
        <v>614</v>
      </c>
      <c r="D79" s="17" t="s">
        <v>123</v>
      </c>
      <c r="E79" s="18">
        <v>92</v>
      </c>
      <c r="F79" s="17" t="s">
        <v>139</v>
      </c>
      <c r="G79" s="18">
        <v>0</v>
      </c>
      <c r="H79" s="18">
        <v>1942</v>
      </c>
      <c r="I79" s="17" t="s">
        <v>615</v>
      </c>
      <c r="J79" s="17" t="s">
        <v>62</v>
      </c>
      <c r="K79" s="17" t="s">
        <v>404</v>
      </c>
      <c r="L79" s="17" t="s">
        <v>104</v>
      </c>
      <c r="M79" s="17" t="s">
        <v>3</v>
      </c>
      <c r="N79" s="19">
        <v>46000.45833333334</v>
      </c>
      <c r="O79" s="17" t="s">
        <v>133</v>
      </c>
      <c r="P79" s="17" t="s">
        <v>616</v>
      </c>
      <c r="Q79" s="17" t="s">
        <v>617</v>
      </c>
      <c r="R79" s="17" t="s">
        <v>99</v>
      </c>
      <c r="S79" s="17" t="s">
        <v>315</v>
      </c>
      <c r="T79" s="19">
        <v>46000.57430555556</v>
      </c>
      <c r="U79" s="17" t="s">
        <v>315</v>
      </c>
      <c r="V79" s="19">
        <v>46000.57430555556</v>
      </c>
    </row>
    <row r="80" spans="1:22">
      <c r="A80" s="17" t="s">
        <v>129</v>
      </c>
      <c r="B80" s="17" t="s">
        <v>141</v>
      </c>
      <c r="C80" s="17" t="s">
        <v>614</v>
      </c>
      <c r="D80" s="17" t="s">
        <v>123</v>
      </c>
      <c r="E80" s="18">
        <v>92</v>
      </c>
      <c r="F80" s="17" t="s">
        <v>139</v>
      </c>
      <c r="G80" s="18">
        <v>0</v>
      </c>
      <c r="H80" s="18">
        <v>1940</v>
      </c>
      <c r="I80" s="17" t="s">
        <v>618</v>
      </c>
      <c r="J80" s="17" t="s">
        <v>74</v>
      </c>
      <c r="K80" s="17" t="s">
        <v>439</v>
      </c>
      <c r="L80" s="17" t="s">
        <v>104</v>
      </c>
      <c r="M80" s="17" t="s">
        <v>20</v>
      </c>
      <c r="N80" s="19">
        <v>46000.32638888889</v>
      </c>
      <c r="O80" s="17" t="s">
        <v>132</v>
      </c>
      <c r="P80" s="17" t="s">
        <v>619</v>
      </c>
      <c r="Q80" s="17" t="s">
        <v>620</v>
      </c>
      <c r="R80" s="17" t="s">
        <v>99</v>
      </c>
      <c r="S80" s="17" t="s">
        <v>342</v>
      </c>
      <c r="T80" s="19">
        <v>46000.52986111111</v>
      </c>
      <c r="U80" s="17" t="s">
        <v>342</v>
      </c>
      <c r="V80" s="19">
        <v>46000.52986111111</v>
      </c>
    </row>
    <row r="81" spans="1:22">
      <c r="A81" s="17" t="s">
        <v>129</v>
      </c>
      <c r="B81" s="17" t="s">
        <v>141</v>
      </c>
      <c r="C81" s="17" t="s">
        <v>614</v>
      </c>
      <c r="D81" s="17" t="s">
        <v>123</v>
      </c>
      <c r="E81" s="18">
        <v>92</v>
      </c>
      <c r="F81" s="17" t="s">
        <v>139</v>
      </c>
      <c r="G81" s="18">
        <v>0</v>
      </c>
      <c r="H81" s="18">
        <v>1939</v>
      </c>
      <c r="I81" s="17" t="s">
        <v>621</v>
      </c>
      <c r="J81" s="17" t="s">
        <v>34</v>
      </c>
      <c r="K81" s="17" t="s">
        <v>352</v>
      </c>
      <c r="L81" s="17" t="s">
        <v>104</v>
      </c>
      <c r="M81" s="17" t="s">
        <v>20</v>
      </c>
      <c r="N81" s="19">
        <v>46000.34722222222</v>
      </c>
      <c r="O81" s="17" t="s">
        <v>132</v>
      </c>
      <c r="P81" s="17" t="s">
        <v>622</v>
      </c>
      <c r="Q81" s="17" t="s">
        <v>620</v>
      </c>
      <c r="R81" s="17" t="s">
        <v>99</v>
      </c>
      <c r="S81" s="17" t="s">
        <v>342</v>
      </c>
      <c r="T81" s="19">
        <v>46000.525</v>
      </c>
      <c r="U81" s="17" t="s">
        <v>342</v>
      </c>
      <c r="V81" s="19">
        <v>46000.525</v>
      </c>
    </row>
    <row r="82" spans="1:22">
      <c r="A82" s="17" t="s">
        <v>130</v>
      </c>
      <c r="B82" s="17" t="s">
        <v>142</v>
      </c>
      <c r="C82" s="17" t="s">
        <v>614</v>
      </c>
      <c r="D82" s="17" t="s">
        <v>123</v>
      </c>
      <c r="E82" s="18">
        <v>92</v>
      </c>
      <c r="F82" s="17" t="s">
        <v>139</v>
      </c>
      <c r="G82" s="18">
        <v>0</v>
      </c>
      <c r="H82" s="18">
        <v>1938</v>
      </c>
      <c r="I82" s="17" t="s">
        <v>623</v>
      </c>
      <c r="J82" s="17" t="s">
        <v>62</v>
      </c>
      <c r="K82" s="17" t="s">
        <v>586</v>
      </c>
      <c r="L82" s="17" t="s">
        <v>104</v>
      </c>
      <c r="M82" s="17" t="s">
        <v>22</v>
      </c>
      <c r="N82" s="19">
        <v>46000.45138888889</v>
      </c>
      <c r="O82" s="17" t="s">
        <v>133</v>
      </c>
      <c r="P82" s="17" t="s">
        <v>624</v>
      </c>
      <c r="Q82" s="17" t="s">
        <v>625</v>
      </c>
      <c r="R82" s="17" t="s">
        <v>99</v>
      </c>
      <c r="S82" s="17" t="s">
        <v>342</v>
      </c>
      <c r="T82" s="19">
        <v>46000.52291666667</v>
      </c>
      <c r="U82" s="17" t="s">
        <v>342</v>
      </c>
      <c r="V82" s="19">
        <v>46000.52291666667</v>
      </c>
    </row>
    <row r="83" spans="1:22">
      <c r="A83" s="17" t="s">
        <v>129</v>
      </c>
      <c r="B83" s="17" t="s">
        <v>145</v>
      </c>
      <c r="C83" s="17" t="s">
        <v>626</v>
      </c>
      <c r="D83" s="17" t="s">
        <v>123</v>
      </c>
      <c r="E83" s="18">
        <v>94</v>
      </c>
      <c r="F83" s="17" t="s">
        <v>139</v>
      </c>
      <c r="G83" s="18">
        <v>0</v>
      </c>
      <c r="H83" s="18">
        <v>1934</v>
      </c>
      <c r="I83" s="17" t="s">
        <v>627</v>
      </c>
      <c r="J83" s="17" t="s">
        <v>62</v>
      </c>
      <c r="K83" s="17" t="s">
        <v>312</v>
      </c>
      <c r="L83" s="17" t="s">
        <v>104</v>
      </c>
      <c r="M83" s="17" t="s">
        <v>22</v>
      </c>
      <c r="N83" s="19">
        <v>45998.56944444445</v>
      </c>
      <c r="O83" s="17" t="s">
        <v>133</v>
      </c>
      <c r="P83" s="17" t="s">
        <v>628</v>
      </c>
      <c r="Q83" s="17" t="s">
        <v>629</v>
      </c>
      <c r="R83" s="17" t="s">
        <v>99</v>
      </c>
      <c r="S83" s="17" t="s">
        <v>342</v>
      </c>
      <c r="T83" s="19">
        <v>45999.60416666666</v>
      </c>
      <c r="U83" s="17" t="s">
        <v>342</v>
      </c>
      <c r="V83" s="19">
        <v>45999.60416666666</v>
      </c>
    </row>
    <row r="84" spans="1:22">
      <c r="A84" s="17" t="s">
        <v>130</v>
      </c>
      <c r="B84" s="17" t="s">
        <v>142</v>
      </c>
      <c r="C84" s="17" t="s">
        <v>626</v>
      </c>
      <c r="D84" s="17" t="s">
        <v>123</v>
      </c>
      <c r="E84" s="18">
        <v>94</v>
      </c>
      <c r="F84" s="17" t="s">
        <v>139</v>
      </c>
      <c r="G84" s="18">
        <v>0</v>
      </c>
      <c r="H84" s="18">
        <v>1929</v>
      </c>
      <c r="I84" s="17" t="s">
        <v>630</v>
      </c>
      <c r="J84" s="17" t="s">
        <v>62</v>
      </c>
      <c r="K84" s="17" t="s">
        <v>321</v>
      </c>
      <c r="L84" s="17" t="s">
        <v>104</v>
      </c>
      <c r="M84" s="17" t="s">
        <v>8</v>
      </c>
      <c r="N84" s="19">
        <v>45998.24305555555</v>
      </c>
      <c r="O84" s="17" t="s">
        <v>133</v>
      </c>
      <c r="P84" s="17" t="s">
        <v>631</v>
      </c>
      <c r="Q84" s="17" t="s">
        <v>632</v>
      </c>
      <c r="R84" s="17" t="s">
        <v>99</v>
      </c>
      <c r="S84" s="17" t="s">
        <v>342</v>
      </c>
      <c r="T84" s="19">
        <v>45999.38888888889</v>
      </c>
      <c r="U84" s="17" t="s">
        <v>342</v>
      </c>
      <c r="V84" s="19">
        <v>45999.38888888889</v>
      </c>
    </row>
    <row r="85" spans="1:22">
      <c r="A85" s="17" t="s">
        <v>129</v>
      </c>
      <c r="B85" s="17" t="s">
        <v>148</v>
      </c>
      <c r="C85" s="17" t="s">
        <v>633</v>
      </c>
      <c r="D85" s="17" t="s">
        <v>123</v>
      </c>
      <c r="E85" s="18">
        <v>95</v>
      </c>
      <c r="F85" s="17" t="s">
        <v>139</v>
      </c>
      <c r="G85" s="18">
        <v>0</v>
      </c>
      <c r="H85" s="18">
        <v>1927</v>
      </c>
      <c r="I85" s="17" t="s">
        <v>634</v>
      </c>
      <c r="J85" s="17" t="s">
        <v>44</v>
      </c>
      <c r="K85" s="17" t="s">
        <v>462</v>
      </c>
      <c r="L85" s="17" t="s">
        <v>104</v>
      </c>
      <c r="M85" s="17" t="s">
        <v>3</v>
      </c>
      <c r="N85" s="19">
        <v>45997.45833333334</v>
      </c>
      <c r="O85" s="17" t="s">
        <v>133</v>
      </c>
      <c r="P85" s="17" t="s">
        <v>635</v>
      </c>
      <c r="Q85" s="17" t="s">
        <v>636</v>
      </c>
      <c r="R85" s="17" t="s">
        <v>99</v>
      </c>
      <c r="S85" s="17" t="s">
        <v>342</v>
      </c>
      <c r="T85" s="19">
        <v>45999.38402777778</v>
      </c>
      <c r="U85" s="17" t="s">
        <v>342</v>
      </c>
      <c r="V85" s="19">
        <v>45999.38402777778</v>
      </c>
    </row>
    <row r="86" spans="1:22">
      <c r="A86" s="17" t="s">
        <v>129</v>
      </c>
      <c r="B86" s="17" t="s">
        <v>141</v>
      </c>
      <c r="C86" s="17" t="s">
        <v>637</v>
      </c>
      <c r="D86" s="17" t="s">
        <v>123</v>
      </c>
      <c r="E86" s="18">
        <v>96</v>
      </c>
      <c r="F86" s="17" t="s">
        <v>139</v>
      </c>
      <c r="G86" s="18">
        <v>0</v>
      </c>
      <c r="H86" s="18">
        <v>1922</v>
      </c>
      <c r="I86" s="17" t="s">
        <v>638</v>
      </c>
      <c r="J86" s="17" t="s">
        <v>34</v>
      </c>
      <c r="K86" s="17" t="s">
        <v>352</v>
      </c>
      <c r="L86" s="17" t="s">
        <v>104</v>
      </c>
      <c r="M86" s="17" t="s">
        <v>8</v>
      </c>
      <c r="N86" s="19">
        <v>45996.3125</v>
      </c>
      <c r="O86" s="17" t="s">
        <v>132</v>
      </c>
      <c r="P86" s="17" t="s">
        <v>639</v>
      </c>
      <c r="Q86" s="17" t="s">
        <v>640</v>
      </c>
      <c r="R86" s="17" t="s">
        <v>99</v>
      </c>
      <c r="S86" s="17" t="s">
        <v>342</v>
      </c>
      <c r="T86" s="19">
        <v>45996.47083333333</v>
      </c>
      <c r="U86" s="17" t="s">
        <v>342</v>
      </c>
      <c r="V86" s="19">
        <v>45996.47083333333</v>
      </c>
    </row>
    <row r="87" spans="1:22">
      <c r="A87" s="17" t="s">
        <v>129</v>
      </c>
      <c r="B87" s="17" t="s">
        <v>141</v>
      </c>
      <c r="C87" s="17" t="s">
        <v>637</v>
      </c>
      <c r="D87" s="17" t="s">
        <v>123</v>
      </c>
      <c r="E87" s="18">
        <v>96</v>
      </c>
      <c r="F87" s="17" t="s">
        <v>139</v>
      </c>
      <c r="G87" s="18">
        <v>0</v>
      </c>
      <c r="H87" s="18">
        <v>1921</v>
      </c>
      <c r="I87" s="17" t="s">
        <v>641</v>
      </c>
      <c r="J87" s="17" t="s">
        <v>34</v>
      </c>
      <c r="K87" s="17" t="s">
        <v>352</v>
      </c>
      <c r="L87" s="17" t="s">
        <v>104</v>
      </c>
      <c r="M87" s="17" t="s">
        <v>20</v>
      </c>
      <c r="N87" s="19">
        <v>45996.3125</v>
      </c>
      <c r="O87" s="17" t="s">
        <v>132</v>
      </c>
      <c r="P87" s="17" t="s">
        <v>642</v>
      </c>
      <c r="Q87" s="17" t="s">
        <v>643</v>
      </c>
      <c r="R87" s="17" t="s">
        <v>99</v>
      </c>
      <c r="S87" s="17" t="s">
        <v>342</v>
      </c>
      <c r="T87" s="19">
        <v>45996.46875</v>
      </c>
      <c r="U87" s="17" t="s">
        <v>342</v>
      </c>
      <c r="V87" s="19">
        <v>45996.46875</v>
      </c>
    </row>
    <row r="88" spans="1:22">
      <c r="A88" s="17" t="s">
        <v>129</v>
      </c>
      <c r="B88" s="17" t="s">
        <v>141</v>
      </c>
      <c r="C88" s="17" t="s">
        <v>644</v>
      </c>
      <c r="D88" s="17" t="s">
        <v>123</v>
      </c>
      <c r="E88" s="18">
        <v>97</v>
      </c>
      <c r="F88" s="17" t="s">
        <v>139</v>
      </c>
      <c r="G88" s="18">
        <v>1</v>
      </c>
      <c r="H88" s="18">
        <v>1918</v>
      </c>
      <c r="I88" s="17" t="s">
        <v>645</v>
      </c>
      <c r="J88" s="17" t="s">
        <v>62</v>
      </c>
      <c r="K88" s="17" t="s">
        <v>395</v>
      </c>
      <c r="L88" s="17" t="s">
        <v>104</v>
      </c>
      <c r="M88" s="17" t="s">
        <v>8</v>
      </c>
      <c r="N88" s="19">
        <v>45995.76388888889</v>
      </c>
      <c r="O88" s="17" t="s">
        <v>133</v>
      </c>
      <c r="P88" s="17" t="s">
        <v>646</v>
      </c>
      <c r="Q88" s="17"/>
      <c r="R88" s="17" t="s">
        <v>98</v>
      </c>
      <c r="S88" s="17" t="s">
        <v>342</v>
      </c>
      <c r="T88" s="19">
        <v>45996.45486111111</v>
      </c>
      <c r="U88" s="17" t="s">
        <v>342</v>
      </c>
      <c r="V88" s="19">
        <v>45996.45486111111</v>
      </c>
    </row>
    <row r="89" spans="1:22">
      <c r="A89" s="17" t="s">
        <v>129</v>
      </c>
      <c r="B89" s="17" t="s">
        <v>141</v>
      </c>
      <c r="C89" s="17" t="s">
        <v>644</v>
      </c>
      <c r="D89" s="17" t="s">
        <v>123</v>
      </c>
      <c r="E89" s="18">
        <v>97</v>
      </c>
      <c r="F89" s="17" t="s">
        <v>139</v>
      </c>
      <c r="G89" s="18">
        <v>0</v>
      </c>
      <c r="H89" s="18">
        <v>1916</v>
      </c>
      <c r="I89" s="17" t="s">
        <v>647</v>
      </c>
      <c r="J89" s="17" t="s">
        <v>59</v>
      </c>
      <c r="K89" s="17" t="s">
        <v>352</v>
      </c>
      <c r="L89" s="17" t="s">
        <v>104</v>
      </c>
      <c r="M89" s="17" t="s">
        <v>22</v>
      </c>
      <c r="N89" s="19">
        <v>45995.625</v>
      </c>
      <c r="O89" s="17" t="s">
        <v>133</v>
      </c>
      <c r="P89" s="17" t="s">
        <v>648</v>
      </c>
      <c r="Q89" s="17" t="s">
        <v>649</v>
      </c>
      <c r="R89" s="17" t="s">
        <v>99</v>
      </c>
      <c r="S89" s="17" t="s">
        <v>650</v>
      </c>
      <c r="T89" s="19">
        <v>45995.88888888889</v>
      </c>
      <c r="U89" s="17" t="s">
        <v>650</v>
      </c>
      <c r="V89" s="19">
        <v>45995.88888888889</v>
      </c>
    </row>
    <row r="90" spans="1:22">
      <c r="A90" s="17" t="s">
        <v>129</v>
      </c>
      <c r="B90" s="17" t="s">
        <v>141</v>
      </c>
      <c r="C90" s="17" t="s">
        <v>644</v>
      </c>
      <c r="D90" s="17" t="s">
        <v>123</v>
      </c>
      <c r="E90" s="18">
        <v>97</v>
      </c>
      <c r="F90" s="17" t="s">
        <v>139</v>
      </c>
      <c r="G90" s="18">
        <v>0</v>
      </c>
      <c r="H90" s="18">
        <v>1913</v>
      </c>
      <c r="I90" s="17" t="s">
        <v>651</v>
      </c>
      <c r="J90" s="17" t="s">
        <v>62</v>
      </c>
      <c r="K90" s="17" t="s">
        <v>439</v>
      </c>
      <c r="L90" s="17" t="s">
        <v>104</v>
      </c>
      <c r="M90" s="17" t="s">
        <v>20</v>
      </c>
      <c r="N90" s="19">
        <v>45995.5</v>
      </c>
      <c r="O90" s="17" t="s">
        <v>133</v>
      </c>
      <c r="P90" s="17" t="s">
        <v>652</v>
      </c>
      <c r="Q90" s="17" t="s">
        <v>653</v>
      </c>
      <c r="R90" s="17" t="s">
        <v>99</v>
      </c>
      <c r="S90" s="17" t="s">
        <v>650</v>
      </c>
      <c r="T90" s="19">
        <v>45995.88125</v>
      </c>
      <c r="U90" s="17" t="s">
        <v>650</v>
      </c>
      <c r="V90" s="19">
        <v>45995.88125</v>
      </c>
    </row>
    <row r="91" spans="1:22">
      <c r="A91" s="17" t="s">
        <v>129</v>
      </c>
      <c r="B91" s="17" t="s">
        <v>141</v>
      </c>
      <c r="C91" s="17" t="s">
        <v>644</v>
      </c>
      <c r="D91" s="17" t="s">
        <v>123</v>
      </c>
      <c r="E91" s="18">
        <v>97</v>
      </c>
      <c r="F91" s="17" t="s">
        <v>139</v>
      </c>
      <c r="G91" s="18">
        <v>0</v>
      </c>
      <c r="H91" s="18">
        <v>1910</v>
      </c>
      <c r="I91" s="17" t="s">
        <v>654</v>
      </c>
      <c r="J91" s="17" t="s">
        <v>62</v>
      </c>
      <c r="K91" s="17" t="s">
        <v>439</v>
      </c>
      <c r="L91" s="17" t="s">
        <v>104</v>
      </c>
      <c r="M91" s="17" t="s">
        <v>20</v>
      </c>
      <c r="N91" s="19">
        <v>45995.47916666666</v>
      </c>
      <c r="O91" s="17" t="s">
        <v>133</v>
      </c>
      <c r="P91" s="17" t="s">
        <v>655</v>
      </c>
      <c r="Q91" s="17" t="s">
        <v>656</v>
      </c>
      <c r="R91" s="17" t="s">
        <v>99</v>
      </c>
      <c r="S91" s="17" t="s">
        <v>650</v>
      </c>
      <c r="T91" s="19">
        <v>45995.87361111111</v>
      </c>
      <c r="U91" s="17" t="s">
        <v>650</v>
      </c>
      <c r="V91" s="19">
        <v>45995.87361111111</v>
      </c>
    </row>
    <row r="92" spans="1:22">
      <c r="A92" s="17" t="s">
        <v>130</v>
      </c>
      <c r="B92" s="17" t="s">
        <v>142</v>
      </c>
      <c r="C92" s="17" t="s">
        <v>644</v>
      </c>
      <c r="D92" s="17" t="s">
        <v>123</v>
      </c>
      <c r="E92" s="18">
        <v>97</v>
      </c>
      <c r="F92" s="17" t="s">
        <v>139</v>
      </c>
      <c r="G92" s="18">
        <v>0</v>
      </c>
      <c r="H92" s="18">
        <v>1909</v>
      </c>
      <c r="I92" s="17" t="s">
        <v>657</v>
      </c>
      <c r="J92" s="17" t="s">
        <v>52</v>
      </c>
      <c r="K92" s="17" t="s">
        <v>553</v>
      </c>
      <c r="L92" s="17" t="s">
        <v>17</v>
      </c>
      <c r="M92" s="17" t="s">
        <v>17</v>
      </c>
      <c r="N92" s="19">
        <v>45995.58333333334</v>
      </c>
      <c r="O92" s="17" t="s">
        <v>133</v>
      </c>
      <c r="P92" s="17" t="s">
        <v>658</v>
      </c>
      <c r="Q92" s="17" t="s">
        <v>659</v>
      </c>
      <c r="R92" s="17" t="s">
        <v>99</v>
      </c>
      <c r="S92" s="17" t="s">
        <v>650</v>
      </c>
      <c r="T92" s="19">
        <v>45995.87152777778</v>
      </c>
      <c r="U92" s="17" t="s">
        <v>650</v>
      </c>
      <c r="V92" s="19">
        <v>45995.87152777778</v>
      </c>
    </row>
    <row r="93" spans="1:22">
      <c r="A93" s="17" t="s">
        <v>129</v>
      </c>
      <c r="B93" s="17" t="s">
        <v>143</v>
      </c>
      <c r="C93" s="17" t="s">
        <v>660</v>
      </c>
      <c r="D93" s="17" t="s">
        <v>123</v>
      </c>
      <c r="E93" s="18">
        <v>98</v>
      </c>
      <c r="F93" s="17" t="s">
        <v>139</v>
      </c>
      <c r="G93" s="18">
        <v>0</v>
      </c>
      <c r="H93" s="18">
        <v>1908</v>
      </c>
      <c r="I93" s="17" t="s">
        <v>661</v>
      </c>
      <c r="J93" s="17" t="s">
        <v>29</v>
      </c>
      <c r="K93" s="17" t="s">
        <v>662</v>
      </c>
      <c r="L93" s="17" t="s">
        <v>106</v>
      </c>
      <c r="M93" s="17" t="s">
        <v>19</v>
      </c>
      <c r="N93" s="19">
        <v>45994.5625</v>
      </c>
      <c r="O93" s="17" t="s">
        <v>133</v>
      </c>
      <c r="P93" s="17" t="s">
        <v>663</v>
      </c>
      <c r="Q93" s="17" t="s">
        <v>664</v>
      </c>
      <c r="R93" s="17" t="s">
        <v>99</v>
      </c>
      <c r="S93" s="17" t="s">
        <v>315</v>
      </c>
      <c r="T93" s="19">
        <v>45995.40694444445</v>
      </c>
      <c r="U93" s="17" t="s">
        <v>315</v>
      </c>
      <c r="V93" s="19">
        <v>45995.40694444445</v>
      </c>
    </row>
    <row r="94" spans="1:22">
      <c r="A94" s="17" t="s">
        <v>129</v>
      </c>
      <c r="B94" s="17" t="s">
        <v>141</v>
      </c>
      <c r="C94" s="17" t="s">
        <v>665</v>
      </c>
      <c r="D94" s="17" t="s">
        <v>123</v>
      </c>
      <c r="E94" s="18">
        <v>99</v>
      </c>
      <c r="F94" s="17" t="s">
        <v>139</v>
      </c>
      <c r="G94" s="18">
        <v>0</v>
      </c>
      <c r="H94" s="18">
        <v>1900</v>
      </c>
      <c r="I94" s="17" t="s">
        <v>666</v>
      </c>
      <c r="J94" s="17" t="s">
        <v>62</v>
      </c>
      <c r="K94" s="17" t="s">
        <v>395</v>
      </c>
      <c r="L94" s="17" t="s">
        <v>104</v>
      </c>
      <c r="M94" s="17" t="s">
        <v>8</v>
      </c>
      <c r="N94" s="19">
        <v>45993.41666666666</v>
      </c>
      <c r="O94" s="17" t="s">
        <v>132</v>
      </c>
      <c r="P94" s="17" t="s">
        <v>667</v>
      </c>
      <c r="Q94" s="17" t="s">
        <v>668</v>
      </c>
      <c r="R94" s="17" t="s">
        <v>99</v>
      </c>
      <c r="S94" s="17" t="s">
        <v>342</v>
      </c>
      <c r="T94" s="19">
        <v>45993.61736111111</v>
      </c>
      <c r="U94" s="17" t="s">
        <v>342</v>
      </c>
      <c r="V94" s="19">
        <v>45993.61736111111</v>
      </c>
    </row>
    <row r="95" spans="1:22">
      <c r="A95" s="17" t="s">
        <v>129</v>
      </c>
      <c r="B95" s="17" t="s">
        <v>141</v>
      </c>
      <c r="C95" s="17" t="s">
        <v>665</v>
      </c>
      <c r="D95" s="17" t="s">
        <v>123</v>
      </c>
      <c r="E95" s="18">
        <v>99</v>
      </c>
      <c r="F95" s="17" t="s">
        <v>139</v>
      </c>
      <c r="G95" s="18">
        <v>0</v>
      </c>
      <c r="H95" s="18">
        <v>1899</v>
      </c>
      <c r="I95" s="17" t="s">
        <v>669</v>
      </c>
      <c r="J95" s="17" t="s">
        <v>39</v>
      </c>
      <c r="K95" s="17" t="s">
        <v>241</v>
      </c>
      <c r="L95" s="17" t="s">
        <v>104</v>
      </c>
      <c r="M95" s="17" t="s">
        <v>8</v>
      </c>
      <c r="N95" s="19">
        <v>45993.44444444445</v>
      </c>
      <c r="O95" s="17" t="s">
        <v>133</v>
      </c>
      <c r="P95" s="17" t="s">
        <v>670</v>
      </c>
      <c r="Q95" s="17" t="s">
        <v>671</v>
      </c>
      <c r="R95" s="17" t="s">
        <v>99</v>
      </c>
      <c r="S95" s="17" t="s">
        <v>342</v>
      </c>
      <c r="T95" s="19">
        <v>45993.61527777778</v>
      </c>
      <c r="U95" s="17" t="s">
        <v>342</v>
      </c>
      <c r="V95" s="19">
        <v>45993.61527777778</v>
      </c>
    </row>
    <row r="96" spans="1:22">
      <c r="A96" s="17" t="s">
        <v>130</v>
      </c>
      <c r="B96" s="17" t="s">
        <v>142</v>
      </c>
      <c r="C96" s="17" t="s">
        <v>672</v>
      </c>
      <c r="D96" s="17" t="s">
        <v>122</v>
      </c>
      <c r="E96" s="18">
        <v>104</v>
      </c>
      <c r="F96" s="17" t="s">
        <v>139</v>
      </c>
      <c r="G96" s="18">
        <v>0</v>
      </c>
      <c r="H96" s="18">
        <v>1883</v>
      </c>
      <c r="I96" s="17" t="s">
        <v>673</v>
      </c>
      <c r="J96" s="17" t="s">
        <v>52</v>
      </c>
      <c r="K96" s="17" t="s">
        <v>553</v>
      </c>
      <c r="L96" s="17" t="s">
        <v>104</v>
      </c>
      <c r="M96" s="17" t="s">
        <v>8</v>
      </c>
      <c r="N96" s="19">
        <v>45988</v>
      </c>
      <c r="O96" s="17" t="s">
        <v>133</v>
      </c>
      <c r="P96" s="17" t="s">
        <v>674</v>
      </c>
      <c r="Q96" s="17" t="s">
        <v>675</v>
      </c>
      <c r="R96" s="17" t="s">
        <v>99</v>
      </c>
      <c r="S96" s="17" t="s">
        <v>342</v>
      </c>
      <c r="T96" s="19">
        <v>45989.40277777778</v>
      </c>
      <c r="U96" s="17" t="s">
        <v>342</v>
      </c>
      <c r="V96" s="19">
        <v>45989.40277777778</v>
      </c>
    </row>
    <row r="97" spans="1:22">
      <c r="A97" s="17" t="s">
        <v>129</v>
      </c>
      <c r="B97" s="17" t="s">
        <v>145</v>
      </c>
      <c r="C97" s="17" t="s">
        <v>676</v>
      </c>
      <c r="D97" s="17" t="s">
        <v>122</v>
      </c>
      <c r="E97" s="18">
        <v>105</v>
      </c>
      <c r="F97" s="17" t="s">
        <v>139</v>
      </c>
      <c r="G97" s="18">
        <v>0</v>
      </c>
      <c r="H97" s="18">
        <v>1878</v>
      </c>
      <c r="I97" s="17" t="s">
        <v>677</v>
      </c>
      <c r="J97" s="17" t="s">
        <v>49</v>
      </c>
      <c r="K97" s="17" t="s">
        <v>312</v>
      </c>
      <c r="L97" s="17" t="s">
        <v>106</v>
      </c>
      <c r="M97" s="17" t="s">
        <v>2</v>
      </c>
      <c r="N97" s="19">
        <v>45987.67361111111</v>
      </c>
      <c r="O97" s="17" t="s">
        <v>133</v>
      </c>
      <c r="P97" s="17" t="s">
        <v>678</v>
      </c>
      <c r="Q97" s="17" t="s">
        <v>679</v>
      </c>
      <c r="R97" s="17" t="s">
        <v>99</v>
      </c>
      <c r="S97" s="17" t="s">
        <v>342</v>
      </c>
      <c r="T97" s="19">
        <v>45987.88888888889</v>
      </c>
      <c r="U97" s="17" t="s">
        <v>342</v>
      </c>
      <c r="V97" s="19">
        <v>45987.88888888889</v>
      </c>
    </row>
    <row r="98" spans="1:22">
      <c r="A98" s="17" t="s">
        <v>129</v>
      </c>
      <c r="B98" s="17" t="s">
        <v>141</v>
      </c>
      <c r="C98" s="17" t="s">
        <v>676</v>
      </c>
      <c r="D98" s="17" t="s">
        <v>122</v>
      </c>
      <c r="E98" s="18">
        <v>105</v>
      </c>
      <c r="F98" s="17" t="s">
        <v>139</v>
      </c>
      <c r="G98" s="18">
        <v>0</v>
      </c>
      <c r="H98" s="18">
        <v>1875</v>
      </c>
      <c r="I98" s="17" t="s">
        <v>680</v>
      </c>
      <c r="J98" s="17" t="s">
        <v>62</v>
      </c>
      <c r="K98" s="17" t="s">
        <v>439</v>
      </c>
      <c r="L98" s="17" t="s">
        <v>104</v>
      </c>
      <c r="M98" s="17" t="s">
        <v>20</v>
      </c>
      <c r="N98" s="19">
        <v>45987.51388888889</v>
      </c>
      <c r="O98" s="17" t="s">
        <v>133</v>
      </c>
      <c r="P98" s="17" t="s">
        <v>681</v>
      </c>
      <c r="Q98" s="17" t="s">
        <v>682</v>
      </c>
      <c r="R98" s="17" t="s">
        <v>99</v>
      </c>
      <c r="S98" s="17" t="s">
        <v>342</v>
      </c>
      <c r="T98" s="19">
        <v>45987.88194444445</v>
      </c>
      <c r="U98" s="17" t="s">
        <v>342</v>
      </c>
      <c r="V98" s="19">
        <v>45987.88194444445</v>
      </c>
    </row>
    <row r="99" spans="1:22">
      <c r="A99" s="17" t="s">
        <v>129</v>
      </c>
      <c r="B99" s="17" t="s">
        <v>146</v>
      </c>
      <c r="C99" s="17" t="s">
        <v>683</v>
      </c>
      <c r="D99" s="17" t="s">
        <v>122</v>
      </c>
      <c r="E99" s="18">
        <v>106</v>
      </c>
      <c r="F99" s="17" t="s">
        <v>139</v>
      </c>
      <c r="G99" s="18">
        <v>0</v>
      </c>
      <c r="H99" s="18">
        <v>1870</v>
      </c>
      <c r="I99" s="17" t="s">
        <v>684</v>
      </c>
      <c r="J99" s="17" t="s">
        <v>62</v>
      </c>
      <c r="K99" s="17" t="s">
        <v>288</v>
      </c>
      <c r="L99" s="17" t="s">
        <v>105</v>
      </c>
      <c r="M99" s="17" t="s">
        <v>24</v>
      </c>
      <c r="N99" s="19">
        <v>45986.57638888889</v>
      </c>
      <c r="O99" s="17" t="s">
        <v>133</v>
      </c>
      <c r="P99" s="17" t="s">
        <v>685</v>
      </c>
      <c r="Q99" s="17" t="s">
        <v>686</v>
      </c>
      <c r="R99" s="17" t="s">
        <v>99</v>
      </c>
      <c r="S99" s="17" t="s">
        <v>342</v>
      </c>
      <c r="T99" s="19">
        <v>45986.81875</v>
      </c>
      <c r="U99" s="17" t="s">
        <v>342</v>
      </c>
      <c r="V99" s="19">
        <v>46000.80347222222</v>
      </c>
    </row>
    <row r="100" spans="1:22">
      <c r="A100" s="17" t="s">
        <v>129</v>
      </c>
      <c r="B100" s="17" t="s">
        <v>141</v>
      </c>
      <c r="C100" s="17" t="s">
        <v>687</v>
      </c>
      <c r="D100" s="17" t="s">
        <v>122</v>
      </c>
      <c r="E100" s="18">
        <v>107</v>
      </c>
      <c r="F100" s="17" t="s">
        <v>139</v>
      </c>
      <c r="G100" s="18">
        <v>0</v>
      </c>
      <c r="H100" s="18">
        <v>1856</v>
      </c>
      <c r="I100" s="17" t="s">
        <v>688</v>
      </c>
      <c r="J100" s="17" t="s">
        <v>59</v>
      </c>
      <c r="K100" s="17" t="s">
        <v>240</v>
      </c>
      <c r="L100" s="17" t="s">
        <v>104</v>
      </c>
      <c r="M100" s="17" t="s">
        <v>20</v>
      </c>
      <c r="N100" s="19">
        <v>45985.47916666666</v>
      </c>
      <c r="O100" s="17" t="s">
        <v>132</v>
      </c>
      <c r="P100" s="17" t="s">
        <v>689</v>
      </c>
      <c r="Q100" s="17" t="s">
        <v>690</v>
      </c>
      <c r="R100" s="17" t="s">
        <v>99</v>
      </c>
      <c r="S100" s="17" t="s">
        <v>342</v>
      </c>
      <c r="T100" s="19">
        <v>45985.73472222222</v>
      </c>
      <c r="U100" s="17" t="s">
        <v>342</v>
      </c>
      <c r="V100" s="19">
        <v>45985.73472222222</v>
      </c>
    </row>
    <row r="101" spans="1:22">
      <c r="A101" s="17" t="s">
        <v>129</v>
      </c>
      <c r="B101" s="17" t="s">
        <v>141</v>
      </c>
      <c r="C101" s="17" t="s">
        <v>691</v>
      </c>
      <c r="D101" s="17" t="s">
        <v>122</v>
      </c>
      <c r="E101" s="18">
        <v>109</v>
      </c>
      <c r="F101" s="17" t="s">
        <v>139</v>
      </c>
      <c r="G101" s="18">
        <v>0</v>
      </c>
      <c r="H101" s="18">
        <v>1848</v>
      </c>
      <c r="I101" s="17" t="s">
        <v>692</v>
      </c>
      <c r="J101" s="17" t="s">
        <v>62</v>
      </c>
      <c r="K101" s="17" t="s">
        <v>352</v>
      </c>
      <c r="L101" s="17" t="s">
        <v>17</v>
      </c>
      <c r="M101" s="17" t="s">
        <v>17</v>
      </c>
      <c r="N101" s="19">
        <v>45983.5</v>
      </c>
      <c r="O101" s="17" t="s">
        <v>133</v>
      </c>
      <c r="P101" s="17" t="s">
        <v>693</v>
      </c>
      <c r="Q101" s="17" t="s">
        <v>694</v>
      </c>
      <c r="R101" s="17" t="s">
        <v>99</v>
      </c>
      <c r="S101" s="17" t="s">
        <v>342</v>
      </c>
      <c r="T101" s="19">
        <v>45983.60694444444</v>
      </c>
      <c r="U101" s="17" t="s">
        <v>342</v>
      </c>
      <c r="V101" s="19">
        <v>45983.60694444444</v>
      </c>
    </row>
    <row r="102" spans="1:22">
      <c r="A102" s="17" t="s">
        <v>129</v>
      </c>
      <c r="B102" s="17" t="s">
        <v>147</v>
      </c>
      <c r="C102" s="17" t="s">
        <v>695</v>
      </c>
      <c r="D102" s="17" t="s">
        <v>122</v>
      </c>
      <c r="E102" s="18">
        <v>111</v>
      </c>
      <c r="F102" s="17" t="s">
        <v>139</v>
      </c>
      <c r="G102" s="18">
        <v>0</v>
      </c>
      <c r="H102" s="18">
        <v>1840</v>
      </c>
      <c r="I102" s="17" t="s">
        <v>696</v>
      </c>
      <c r="J102" s="17" t="s">
        <v>62</v>
      </c>
      <c r="K102" s="17" t="s">
        <v>697</v>
      </c>
      <c r="L102" s="17" t="s">
        <v>104</v>
      </c>
      <c r="M102" s="17" t="s">
        <v>8</v>
      </c>
      <c r="N102" s="19">
        <v>45981.71527777778</v>
      </c>
      <c r="O102" s="17" t="s">
        <v>133</v>
      </c>
      <c r="P102" s="17" t="s">
        <v>698</v>
      </c>
      <c r="Q102" s="17" t="s">
        <v>699</v>
      </c>
      <c r="R102" s="17" t="s">
        <v>99</v>
      </c>
      <c r="S102" s="17" t="s">
        <v>342</v>
      </c>
      <c r="T102" s="19">
        <v>45981.76111111111</v>
      </c>
      <c r="U102" s="17" t="s">
        <v>342</v>
      </c>
      <c r="V102" s="19">
        <v>45981.76111111111</v>
      </c>
    </row>
    <row r="103" spans="1:22">
      <c r="A103" s="17" t="s">
        <v>130</v>
      </c>
      <c r="B103" s="17" t="s">
        <v>142</v>
      </c>
      <c r="C103" s="17" t="s">
        <v>700</v>
      </c>
      <c r="D103" s="17" t="s">
        <v>122</v>
      </c>
      <c r="E103" s="18">
        <v>113</v>
      </c>
      <c r="F103" s="17" t="s">
        <v>139</v>
      </c>
      <c r="G103" s="18">
        <v>0</v>
      </c>
      <c r="H103" s="18">
        <v>1830</v>
      </c>
      <c r="I103" s="17" t="s">
        <v>701</v>
      </c>
      <c r="J103" s="17" t="s">
        <v>62</v>
      </c>
      <c r="K103" s="17" t="s">
        <v>553</v>
      </c>
      <c r="L103" s="17" t="s">
        <v>104</v>
      </c>
      <c r="M103" s="17" t="s">
        <v>8</v>
      </c>
      <c r="N103" s="19">
        <v>45979.91666666666</v>
      </c>
      <c r="O103" s="17" t="s">
        <v>133</v>
      </c>
      <c r="P103" s="17" t="s">
        <v>702</v>
      </c>
      <c r="Q103" s="17" t="s">
        <v>703</v>
      </c>
      <c r="R103" s="17" t="s">
        <v>99</v>
      </c>
      <c r="S103" s="17" t="s">
        <v>342</v>
      </c>
      <c r="T103" s="19">
        <v>45980.43819444445</v>
      </c>
      <c r="U103" s="17" t="s">
        <v>342</v>
      </c>
      <c r="V103" s="19">
        <v>45980.43819444445</v>
      </c>
    </row>
    <row r="104" spans="1:22">
      <c r="A104" s="17" t="s">
        <v>129</v>
      </c>
      <c r="B104" s="17" t="s">
        <v>145</v>
      </c>
      <c r="C104" s="17" t="s">
        <v>704</v>
      </c>
      <c r="D104" s="17" t="s">
        <v>122</v>
      </c>
      <c r="E104" s="18">
        <v>117</v>
      </c>
      <c r="F104" s="17" t="s">
        <v>139</v>
      </c>
      <c r="G104" s="18">
        <v>0</v>
      </c>
      <c r="H104" s="18">
        <v>1815</v>
      </c>
      <c r="I104" s="17" t="s">
        <v>705</v>
      </c>
      <c r="J104" s="17" t="s">
        <v>49</v>
      </c>
      <c r="K104" s="17" t="s">
        <v>312</v>
      </c>
      <c r="L104" s="17" t="s">
        <v>104</v>
      </c>
      <c r="M104" s="17" t="s">
        <v>3</v>
      </c>
      <c r="N104" s="19">
        <v>45975.45833333334</v>
      </c>
      <c r="O104" s="17" t="s">
        <v>133</v>
      </c>
      <c r="P104" s="17" t="s">
        <v>706</v>
      </c>
      <c r="Q104" s="17" t="s">
        <v>707</v>
      </c>
      <c r="R104" s="17" t="s">
        <v>99</v>
      </c>
      <c r="S104" s="17" t="s">
        <v>342</v>
      </c>
      <c r="T104" s="19">
        <v>45976.48611111111</v>
      </c>
      <c r="U104" s="17" t="s">
        <v>342</v>
      </c>
      <c r="V104" s="19">
        <v>45979.79652777778</v>
      </c>
    </row>
    <row r="105" spans="1:22">
      <c r="A105" s="17" t="s">
        <v>129</v>
      </c>
      <c r="B105" s="17" t="s">
        <v>141</v>
      </c>
      <c r="C105" s="17" t="s">
        <v>708</v>
      </c>
      <c r="D105" s="17" t="s">
        <v>122</v>
      </c>
      <c r="E105" s="18">
        <v>118</v>
      </c>
      <c r="F105" s="17" t="s">
        <v>139</v>
      </c>
      <c r="G105" s="18">
        <v>0</v>
      </c>
      <c r="H105" s="18">
        <v>1808</v>
      </c>
      <c r="I105" s="17" t="s">
        <v>709</v>
      </c>
      <c r="J105" s="17" t="s">
        <v>62</v>
      </c>
      <c r="K105" s="17" t="s">
        <v>352</v>
      </c>
      <c r="L105" s="17" t="s">
        <v>105</v>
      </c>
      <c r="M105" s="17" t="s">
        <v>1</v>
      </c>
      <c r="N105" s="19">
        <v>45974.625</v>
      </c>
      <c r="O105" s="17" t="s">
        <v>133</v>
      </c>
      <c r="P105" s="17" t="s">
        <v>710</v>
      </c>
      <c r="Q105" s="17" t="s">
        <v>711</v>
      </c>
      <c r="R105" s="17" t="s">
        <v>99</v>
      </c>
      <c r="S105" s="17" t="s">
        <v>315</v>
      </c>
      <c r="T105" s="19">
        <v>45975.45486111111</v>
      </c>
      <c r="U105" s="17" t="s">
        <v>315</v>
      </c>
      <c r="V105" s="19">
        <v>45979.79444444444</v>
      </c>
    </row>
    <row r="106" spans="1:22">
      <c r="A106" s="17" t="s">
        <v>129</v>
      </c>
      <c r="B106" s="17" t="s">
        <v>146</v>
      </c>
      <c r="C106" s="17" t="s">
        <v>708</v>
      </c>
      <c r="D106" s="17" t="s">
        <v>122</v>
      </c>
      <c r="E106" s="18">
        <v>118</v>
      </c>
      <c r="F106" s="17" t="s">
        <v>139</v>
      </c>
      <c r="G106" s="18">
        <v>0</v>
      </c>
      <c r="H106" s="18">
        <v>1805</v>
      </c>
      <c r="I106" s="17" t="s">
        <v>712</v>
      </c>
      <c r="J106" s="17" t="s">
        <v>62</v>
      </c>
      <c r="K106" s="17" t="s">
        <v>288</v>
      </c>
      <c r="L106" s="17" t="s">
        <v>104</v>
      </c>
      <c r="M106" s="17" t="s">
        <v>11</v>
      </c>
      <c r="N106" s="19">
        <v>45974</v>
      </c>
      <c r="O106" s="17" t="s">
        <v>133</v>
      </c>
      <c r="P106" s="17" t="s">
        <v>713</v>
      </c>
      <c r="Q106" s="17" t="s">
        <v>714</v>
      </c>
      <c r="R106" s="17" t="s">
        <v>99</v>
      </c>
      <c r="S106" s="17" t="s">
        <v>342</v>
      </c>
      <c r="T106" s="19">
        <v>45974.70972222222</v>
      </c>
      <c r="U106" s="17" t="s">
        <v>342</v>
      </c>
      <c r="V106" s="19">
        <v>45974.70972222222</v>
      </c>
    </row>
    <row r="107" spans="1:22">
      <c r="A107" s="17" t="s">
        <v>129</v>
      </c>
      <c r="B107" s="17" t="s">
        <v>145</v>
      </c>
      <c r="C107" s="17" t="s">
        <v>715</v>
      </c>
      <c r="D107" s="17" t="s">
        <v>122</v>
      </c>
      <c r="E107" s="18">
        <v>123</v>
      </c>
      <c r="F107" s="17" t="s">
        <v>139</v>
      </c>
      <c r="G107" s="18">
        <v>0</v>
      </c>
      <c r="H107" s="18">
        <v>1801</v>
      </c>
      <c r="I107" s="17" t="s">
        <v>716</v>
      </c>
      <c r="J107" s="17" t="s">
        <v>62</v>
      </c>
      <c r="K107" s="17" t="s">
        <v>312</v>
      </c>
      <c r="L107" s="17" t="s">
        <v>105</v>
      </c>
      <c r="M107" s="17" t="s">
        <v>23</v>
      </c>
      <c r="N107" s="19">
        <v>45969.72222222222</v>
      </c>
      <c r="O107" s="17" t="s">
        <v>133</v>
      </c>
      <c r="P107" s="17" t="s">
        <v>717</v>
      </c>
      <c r="Q107" s="17" t="s">
        <v>718</v>
      </c>
      <c r="R107" s="17" t="s">
        <v>99</v>
      </c>
      <c r="S107" s="17" t="s">
        <v>342</v>
      </c>
      <c r="T107" s="19">
        <v>45974.51041666666</v>
      </c>
      <c r="U107" s="17" t="s">
        <v>342</v>
      </c>
      <c r="V107" s="19">
        <v>45974.51041666666</v>
      </c>
    </row>
    <row r="108" spans="1:22">
      <c r="A108" s="17" t="s">
        <v>130</v>
      </c>
      <c r="B108" s="17" t="s">
        <v>144</v>
      </c>
      <c r="C108" s="17" t="s">
        <v>719</v>
      </c>
      <c r="D108" s="17" t="s">
        <v>122</v>
      </c>
      <c r="E108" s="18">
        <v>119</v>
      </c>
      <c r="F108" s="17" t="s">
        <v>139</v>
      </c>
      <c r="G108" s="18">
        <v>0</v>
      </c>
      <c r="H108" s="18">
        <v>1796</v>
      </c>
      <c r="I108" s="17" t="s">
        <v>720</v>
      </c>
      <c r="J108" s="17" t="s">
        <v>65</v>
      </c>
      <c r="K108" s="17" t="s">
        <v>335</v>
      </c>
      <c r="L108" s="17" t="s">
        <v>105</v>
      </c>
      <c r="M108" s="17" t="s">
        <v>23</v>
      </c>
      <c r="N108" s="19">
        <v>45973.46527777778</v>
      </c>
      <c r="O108" s="17" t="s">
        <v>133</v>
      </c>
      <c r="P108" s="17" t="s">
        <v>721</v>
      </c>
      <c r="Q108" s="17" t="s">
        <v>722</v>
      </c>
      <c r="R108" s="17" t="s">
        <v>99</v>
      </c>
      <c r="S108" s="17" t="s">
        <v>342</v>
      </c>
      <c r="T108" s="19">
        <v>45974.36180555556</v>
      </c>
      <c r="U108" s="17" t="s">
        <v>342</v>
      </c>
      <c r="V108" s="19">
        <v>45974.36180555556</v>
      </c>
    </row>
    <row r="109" spans="1:22">
      <c r="A109" s="17" t="s">
        <v>129</v>
      </c>
      <c r="B109" s="17" t="s">
        <v>147</v>
      </c>
      <c r="C109" s="17" t="s">
        <v>719</v>
      </c>
      <c r="D109" s="17" t="s">
        <v>122</v>
      </c>
      <c r="E109" s="18">
        <v>119</v>
      </c>
      <c r="F109" s="17" t="s">
        <v>139</v>
      </c>
      <c r="G109" s="18">
        <v>0</v>
      </c>
      <c r="H109" s="18">
        <v>1792</v>
      </c>
      <c r="I109" s="17" t="s">
        <v>723</v>
      </c>
      <c r="J109" s="17" t="s">
        <v>62</v>
      </c>
      <c r="K109" s="17" t="s">
        <v>697</v>
      </c>
      <c r="L109" s="17" t="s">
        <v>104</v>
      </c>
      <c r="M109" s="17" t="s">
        <v>8</v>
      </c>
      <c r="N109" s="19">
        <v>45973.58333333334</v>
      </c>
      <c r="O109" s="17" t="s">
        <v>132</v>
      </c>
      <c r="P109" s="17" t="s">
        <v>724</v>
      </c>
      <c r="Q109" s="17" t="s">
        <v>725</v>
      </c>
      <c r="R109" s="17" t="s">
        <v>99</v>
      </c>
      <c r="S109" s="17" t="s">
        <v>342</v>
      </c>
      <c r="T109" s="19">
        <v>45973.69166666667</v>
      </c>
      <c r="U109" s="17" t="s">
        <v>342</v>
      </c>
      <c r="V109" s="19">
        <v>45979.77777777778</v>
      </c>
    </row>
    <row r="110" spans="1:22">
      <c r="A110" s="17" t="s">
        <v>130</v>
      </c>
      <c r="B110" s="17" t="s">
        <v>142</v>
      </c>
      <c r="C110" s="17" t="s">
        <v>715</v>
      </c>
      <c r="D110" s="17" t="s">
        <v>122</v>
      </c>
      <c r="E110" s="18">
        <v>123</v>
      </c>
      <c r="F110" s="17" t="s">
        <v>139</v>
      </c>
      <c r="G110" s="18">
        <v>0</v>
      </c>
      <c r="H110" s="18">
        <v>1779</v>
      </c>
      <c r="I110" s="17" t="s">
        <v>726</v>
      </c>
      <c r="J110" s="17" t="s">
        <v>73</v>
      </c>
      <c r="K110" s="17" t="s">
        <v>321</v>
      </c>
      <c r="L110" s="17" t="s">
        <v>104</v>
      </c>
      <c r="M110" s="17" t="s">
        <v>8</v>
      </c>
      <c r="N110" s="19">
        <v>45969.70138888889</v>
      </c>
      <c r="O110" s="17" t="s">
        <v>133</v>
      </c>
      <c r="P110" s="17" t="s">
        <v>727</v>
      </c>
      <c r="Q110" s="17" t="s">
        <v>728</v>
      </c>
      <c r="R110" s="17" t="s">
        <v>99</v>
      </c>
      <c r="S110" s="17" t="s">
        <v>315</v>
      </c>
      <c r="T110" s="19">
        <v>45969.77361111111</v>
      </c>
      <c r="U110" s="17" t="s">
        <v>315</v>
      </c>
      <c r="V110" s="19">
        <v>45969.77361111111</v>
      </c>
    </row>
    <row r="111" spans="1:22">
      <c r="A111" s="17" t="s">
        <v>130</v>
      </c>
      <c r="B111" s="17" t="s">
        <v>142</v>
      </c>
      <c r="C111" s="17" t="s">
        <v>729</v>
      </c>
      <c r="D111" s="17" t="s">
        <v>122</v>
      </c>
      <c r="E111" s="18">
        <v>125</v>
      </c>
      <c r="F111" s="17" t="s">
        <v>139</v>
      </c>
      <c r="G111" s="18">
        <v>0</v>
      </c>
      <c r="H111" s="18">
        <v>1770</v>
      </c>
      <c r="I111" s="17" t="s">
        <v>730</v>
      </c>
      <c r="J111" s="17" t="s">
        <v>40</v>
      </c>
      <c r="K111" s="17" t="s">
        <v>466</v>
      </c>
      <c r="L111" s="17" t="s">
        <v>104</v>
      </c>
      <c r="M111" s="17" t="s">
        <v>22</v>
      </c>
      <c r="N111" s="19">
        <v>45967.43055555555</v>
      </c>
      <c r="O111" s="17" t="s">
        <v>133</v>
      </c>
      <c r="P111" s="17" t="s">
        <v>731</v>
      </c>
      <c r="Q111" s="17" t="s">
        <v>732</v>
      </c>
      <c r="R111" s="17" t="s">
        <v>99</v>
      </c>
      <c r="S111" s="17" t="s">
        <v>342</v>
      </c>
      <c r="T111" s="19">
        <v>45967.47013888889</v>
      </c>
      <c r="U111" s="17" t="s">
        <v>342</v>
      </c>
      <c r="V111" s="19">
        <v>45967.47013888889</v>
      </c>
    </row>
    <row r="112" spans="1:22">
      <c r="A112" s="17" t="s">
        <v>129</v>
      </c>
      <c r="B112" s="17" t="s">
        <v>141</v>
      </c>
      <c r="C112" s="17" t="s">
        <v>733</v>
      </c>
      <c r="D112" s="17" t="s">
        <v>122</v>
      </c>
      <c r="E112" s="18">
        <v>127</v>
      </c>
      <c r="F112" s="17" t="s">
        <v>139</v>
      </c>
      <c r="G112" s="18">
        <v>0</v>
      </c>
      <c r="H112" s="18">
        <v>1759</v>
      </c>
      <c r="I112" s="17" t="s">
        <v>734</v>
      </c>
      <c r="J112" s="17" t="s">
        <v>70</v>
      </c>
      <c r="K112" s="17" t="s">
        <v>221</v>
      </c>
      <c r="L112" s="17" t="s">
        <v>106</v>
      </c>
      <c r="M112" s="17" t="s">
        <v>7</v>
      </c>
      <c r="N112" s="19">
        <v>45965.58333333334</v>
      </c>
      <c r="O112" s="17" t="s">
        <v>133</v>
      </c>
      <c r="P112" s="17" t="s">
        <v>735</v>
      </c>
      <c r="Q112" s="17" t="s">
        <v>736</v>
      </c>
      <c r="R112" s="17" t="s">
        <v>99</v>
      </c>
      <c r="S112" s="17" t="s">
        <v>315</v>
      </c>
      <c r="T112" s="19">
        <v>45965.68263888889</v>
      </c>
      <c r="U112" s="17" t="s">
        <v>315</v>
      </c>
      <c r="V112" s="19">
        <v>45965.68263888889</v>
      </c>
    </row>
    <row r="113" spans="1:22">
      <c r="A113" s="17" t="s">
        <v>129</v>
      </c>
      <c r="B113" s="17" t="s">
        <v>145</v>
      </c>
      <c r="C113" s="17" t="s">
        <v>737</v>
      </c>
      <c r="D113" s="17" t="s">
        <v>121</v>
      </c>
      <c r="E113" s="18">
        <v>132</v>
      </c>
      <c r="F113" s="17" t="s">
        <v>139</v>
      </c>
      <c r="G113" s="18">
        <v>0</v>
      </c>
      <c r="H113" s="18">
        <v>1741</v>
      </c>
      <c r="I113" s="17" t="s">
        <v>738</v>
      </c>
      <c r="J113" s="17" t="s">
        <v>49</v>
      </c>
      <c r="K113" s="17" t="s">
        <v>312</v>
      </c>
      <c r="L113" s="17" t="s">
        <v>105</v>
      </c>
      <c r="M113" s="17" t="s">
        <v>24</v>
      </c>
      <c r="N113" s="19">
        <v>45960.82638888889</v>
      </c>
      <c r="O113" s="17" t="s">
        <v>133</v>
      </c>
      <c r="P113" s="17" t="s">
        <v>739</v>
      </c>
      <c r="Q113" s="17" t="s">
        <v>740</v>
      </c>
      <c r="R113" s="17" t="s">
        <v>99</v>
      </c>
      <c r="S113" s="17" t="s">
        <v>342</v>
      </c>
      <c r="T113" s="19">
        <v>45961.75972222222</v>
      </c>
      <c r="U113" s="17" t="s">
        <v>342</v>
      </c>
      <c r="V113" s="19">
        <v>45961.75972222222</v>
      </c>
    </row>
    <row r="114" spans="1:22">
      <c r="A114" s="17" t="s">
        <v>129</v>
      </c>
      <c r="B114" s="17" t="s">
        <v>141</v>
      </c>
      <c r="C114" s="17" t="s">
        <v>741</v>
      </c>
      <c r="D114" s="17" t="s">
        <v>121</v>
      </c>
      <c r="E114" s="18">
        <v>131</v>
      </c>
      <c r="F114" s="17" t="s">
        <v>139</v>
      </c>
      <c r="G114" s="18">
        <v>0</v>
      </c>
      <c r="H114" s="18">
        <v>1740</v>
      </c>
      <c r="I114" s="17" t="s">
        <v>742</v>
      </c>
      <c r="J114" s="17" t="s">
        <v>59</v>
      </c>
      <c r="K114" s="17" t="s">
        <v>240</v>
      </c>
      <c r="L114" s="17" t="s">
        <v>104</v>
      </c>
      <c r="M114" s="17" t="s">
        <v>20</v>
      </c>
      <c r="N114" s="19">
        <v>45961.41666666666</v>
      </c>
      <c r="O114" s="17" t="s">
        <v>132</v>
      </c>
      <c r="P114" s="17" t="s">
        <v>743</v>
      </c>
      <c r="Q114" s="17" t="s">
        <v>744</v>
      </c>
      <c r="R114" s="17" t="s">
        <v>99</v>
      </c>
      <c r="S114" s="17" t="s">
        <v>342</v>
      </c>
      <c r="T114" s="19">
        <v>45961.51805555556</v>
      </c>
      <c r="U114" s="17" t="s">
        <v>342</v>
      </c>
      <c r="V114" s="19">
        <v>45961.51805555556</v>
      </c>
    </row>
    <row r="115" spans="1:22">
      <c r="A115" s="17" t="s">
        <v>129</v>
      </c>
      <c r="B115" s="17" t="s">
        <v>141</v>
      </c>
      <c r="C115" s="17" t="s">
        <v>745</v>
      </c>
      <c r="D115" s="17" t="s">
        <v>121</v>
      </c>
      <c r="E115" s="18">
        <v>133</v>
      </c>
      <c r="F115" s="17" t="s">
        <v>139</v>
      </c>
      <c r="G115" s="18">
        <v>0</v>
      </c>
      <c r="H115" s="18">
        <v>1736</v>
      </c>
      <c r="I115" s="17" t="s">
        <v>746</v>
      </c>
      <c r="J115" s="17" t="s">
        <v>46</v>
      </c>
      <c r="K115" s="17" t="s">
        <v>233</v>
      </c>
      <c r="L115" s="17" t="s">
        <v>104</v>
      </c>
      <c r="M115" s="17" t="s">
        <v>18</v>
      </c>
      <c r="N115" s="19">
        <v>45959.58333333334</v>
      </c>
      <c r="O115" s="17" t="s">
        <v>133</v>
      </c>
      <c r="P115" s="17" t="s">
        <v>747</v>
      </c>
      <c r="Q115" s="17" t="s">
        <v>748</v>
      </c>
      <c r="R115" s="17" t="s">
        <v>99</v>
      </c>
      <c r="S115" s="17" t="s">
        <v>342</v>
      </c>
      <c r="T115" s="19">
        <v>45961.35277777778</v>
      </c>
      <c r="U115" s="17" t="s">
        <v>342</v>
      </c>
      <c r="V115" s="19">
        <v>45961.35277777778</v>
      </c>
    </row>
    <row r="116" spans="1:22">
      <c r="A116" s="17" t="s">
        <v>129</v>
      </c>
      <c r="B116" s="17" t="s">
        <v>141</v>
      </c>
      <c r="C116" s="17" t="s">
        <v>749</v>
      </c>
      <c r="D116" s="17" t="s">
        <v>121</v>
      </c>
      <c r="E116" s="18">
        <v>134</v>
      </c>
      <c r="F116" s="17" t="s">
        <v>139</v>
      </c>
      <c r="G116" s="18">
        <v>0</v>
      </c>
      <c r="H116" s="18">
        <v>1735</v>
      </c>
      <c r="I116" s="17" t="s">
        <v>750</v>
      </c>
      <c r="J116" s="17" t="s">
        <v>69</v>
      </c>
      <c r="K116" s="17" t="s">
        <v>241</v>
      </c>
      <c r="L116" s="17" t="s">
        <v>104</v>
      </c>
      <c r="M116" s="17" t="s">
        <v>8</v>
      </c>
      <c r="N116" s="19">
        <v>45958.5625</v>
      </c>
      <c r="O116" s="17" t="s">
        <v>133</v>
      </c>
      <c r="P116" s="17" t="s">
        <v>751</v>
      </c>
      <c r="Q116" s="17" t="s">
        <v>752</v>
      </c>
      <c r="R116" s="17" t="s">
        <v>99</v>
      </c>
      <c r="S116" s="17" t="s">
        <v>342</v>
      </c>
      <c r="T116" s="19">
        <v>45961.34861111111</v>
      </c>
      <c r="U116" s="17" t="s">
        <v>342</v>
      </c>
      <c r="V116" s="19">
        <v>45961.34861111111</v>
      </c>
    </row>
    <row r="117" spans="1:22">
      <c r="A117" s="17" t="s">
        <v>129</v>
      </c>
      <c r="B117" s="17" t="s">
        <v>141</v>
      </c>
      <c r="C117" s="17" t="s">
        <v>737</v>
      </c>
      <c r="D117" s="17" t="s">
        <v>121</v>
      </c>
      <c r="E117" s="18">
        <v>132</v>
      </c>
      <c r="F117" s="17" t="s">
        <v>139</v>
      </c>
      <c r="G117" s="18">
        <v>0</v>
      </c>
      <c r="H117" s="18">
        <v>1734</v>
      </c>
      <c r="I117" s="17" t="s">
        <v>753</v>
      </c>
      <c r="J117" s="17" t="s">
        <v>66</v>
      </c>
      <c r="K117" s="17" t="s">
        <v>433</v>
      </c>
      <c r="L117" s="17" t="s">
        <v>106</v>
      </c>
      <c r="M117" s="17" t="s">
        <v>19</v>
      </c>
      <c r="N117" s="19">
        <v>45960.64583333334</v>
      </c>
      <c r="O117" s="17" t="s">
        <v>133</v>
      </c>
      <c r="P117" s="17" t="s">
        <v>754</v>
      </c>
      <c r="Q117" s="17" t="s">
        <v>755</v>
      </c>
      <c r="R117" s="17" t="s">
        <v>99</v>
      </c>
      <c r="S117" s="17" t="s">
        <v>342</v>
      </c>
      <c r="T117" s="19">
        <v>45961.34583333333</v>
      </c>
      <c r="U117" s="17" t="s">
        <v>342</v>
      </c>
      <c r="V117" s="19">
        <v>45961.34583333333</v>
      </c>
    </row>
    <row r="118" spans="1:22">
      <c r="A118" s="17" t="s">
        <v>129</v>
      </c>
      <c r="B118" s="17" t="s">
        <v>145</v>
      </c>
      <c r="C118" s="17" t="s">
        <v>745</v>
      </c>
      <c r="D118" s="17" t="s">
        <v>121</v>
      </c>
      <c r="E118" s="18">
        <v>133</v>
      </c>
      <c r="F118" s="17" t="s">
        <v>139</v>
      </c>
      <c r="G118" s="18">
        <v>0</v>
      </c>
      <c r="H118" s="18">
        <v>1730</v>
      </c>
      <c r="I118" s="17" t="s">
        <v>756</v>
      </c>
      <c r="J118" s="17" t="s">
        <v>49</v>
      </c>
      <c r="K118" s="17" t="s">
        <v>312</v>
      </c>
      <c r="L118" s="17" t="s">
        <v>104</v>
      </c>
      <c r="M118" s="17" t="s">
        <v>8</v>
      </c>
      <c r="N118" s="19">
        <v>45959.79166666666</v>
      </c>
      <c r="O118" s="17" t="s">
        <v>133</v>
      </c>
      <c r="P118" s="17" t="s">
        <v>757</v>
      </c>
      <c r="Q118" s="17" t="s">
        <v>758</v>
      </c>
      <c r="R118" s="17" t="s">
        <v>99</v>
      </c>
      <c r="S118" s="17" t="s">
        <v>342</v>
      </c>
      <c r="T118" s="19">
        <v>45960.3625</v>
      </c>
      <c r="U118" s="17" t="s">
        <v>342</v>
      </c>
      <c r="V118" s="19">
        <v>45960.3625</v>
      </c>
    </row>
    <row r="119" spans="1:22">
      <c r="A119" s="17" t="s">
        <v>129</v>
      </c>
      <c r="B119" s="17" t="s">
        <v>143</v>
      </c>
      <c r="C119" s="17" t="s">
        <v>759</v>
      </c>
      <c r="D119" s="17" t="s">
        <v>121</v>
      </c>
      <c r="E119" s="18">
        <v>137</v>
      </c>
      <c r="F119" s="17" t="s">
        <v>139</v>
      </c>
      <c r="G119" s="18">
        <v>0</v>
      </c>
      <c r="H119" s="18">
        <v>1706</v>
      </c>
      <c r="I119" s="17" t="s">
        <v>760</v>
      </c>
      <c r="J119" s="17" t="s">
        <v>72</v>
      </c>
      <c r="K119" s="17" t="s">
        <v>317</v>
      </c>
      <c r="L119" s="17" t="s">
        <v>104</v>
      </c>
      <c r="M119" s="17" t="s">
        <v>22</v>
      </c>
      <c r="N119" s="19">
        <v>45955.57638888889</v>
      </c>
      <c r="O119" s="17" t="s">
        <v>133</v>
      </c>
      <c r="P119" s="17" t="s">
        <v>761</v>
      </c>
      <c r="Q119" s="17" t="s">
        <v>762</v>
      </c>
      <c r="R119" s="17" t="s">
        <v>99</v>
      </c>
      <c r="S119" s="17" t="s">
        <v>342</v>
      </c>
      <c r="T119" s="19">
        <v>45955.60277777778</v>
      </c>
      <c r="U119" s="17" t="s">
        <v>342</v>
      </c>
      <c r="V119" s="19">
        <v>45955.60277777778</v>
      </c>
    </row>
    <row r="120" spans="1:22">
      <c r="A120" s="17" t="s">
        <v>129</v>
      </c>
      <c r="B120" s="17" t="s">
        <v>141</v>
      </c>
      <c r="C120" s="17" t="s">
        <v>763</v>
      </c>
      <c r="D120" s="17" t="s">
        <v>121</v>
      </c>
      <c r="E120" s="18">
        <v>139</v>
      </c>
      <c r="F120" s="17" t="s">
        <v>139</v>
      </c>
      <c r="G120" s="18">
        <v>0</v>
      </c>
      <c r="H120" s="18">
        <v>1698</v>
      </c>
      <c r="I120" s="17" t="s">
        <v>764</v>
      </c>
      <c r="J120" s="17" t="s">
        <v>66</v>
      </c>
      <c r="K120" s="17" t="s">
        <v>433</v>
      </c>
      <c r="L120" s="17" t="s">
        <v>104</v>
      </c>
      <c r="M120" s="17" t="s">
        <v>8</v>
      </c>
      <c r="N120" s="19">
        <v>45953.52083333334</v>
      </c>
      <c r="O120" s="17" t="s">
        <v>132</v>
      </c>
      <c r="P120" s="17" t="s">
        <v>765</v>
      </c>
      <c r="Q120" s="17" t="s">
        <v>766</v>
      </c>
      <c r="R120" s="17" t="s">
        <v>99</v>
      </c>
      <c r="S120" s="17" t="s">
        <v>342</v>
      </c>
      <c r="T120" s="19">
        <v>45954.35555555556</v>
      </c>
      <c r="U120" s="17" t="s">
        <v>342</v>
      </c>
      <c r="V120" s="19">
        <v>45954.35555555556</v>
      </c>
    </row>
    <row r="121" spans="1:22">
      <c r="A121" s="17" t="s">
        <v>129</v>
      </c>
      <c r="B121" s="17" t="s">
        <v>148</v>
      </c>
      <c r="C121" s="17" t="s">
        <v>763</v>
      </c>
      <c r="D121" s="17" t="s">
        <v>121</v>
      </c>
      <c r="E121" s="18">
        <v>139</v>
      </c>
      <c r="F121" s="17" t="s">
        <v>139</v>
      </c>
      <c r="G121" s="18">
        <v>0</v>
      </c>
      <c r="H121" s="18">
        <v>1696</v>
      </c>
      <c r="I121" s="17" t="s">
        <v>767</v>
      </c>
      <c r="J121" s="17" t="s">
        <v>44</v>
      </c>
      <c r="K121" s="17" t="s">
        <v>768</v>
      </c>
      <c r="L121" s="17" t="s">
        <v>104</v>
      </c>
      <c r="M121" s="17" t="s">
        <v>22</v>
      </c>
      <c r="N121" s="19">
        <v>45953.25694444445</v>
      </c>
      <c r="O121" s="17" t="s">
        <v>133</v>
      </c>
      <c r="P121" s="17" t="s">
        <v>769</v>
      </c>
      <c r="Q121" s="17" t="s">
        <v>770</v>
      </c>
      <c r="R121" s="17" t="s">
        <v>99</v>
      </c>
      <c r="S121" s="17" t="s">
        <v>342</v>
      </c>
      <c r="T121" s="19">
        <v>45953.40625</v>
      </c>
      <c r="U121" s="17" t="s">
        <v>342</v>
      </c>
      <c r="V121" s="19">
        <v>45953.40625</v>
      </c>
    </row>
    <row r="122" spans="1:22">
      <c r="A122" s="17" t="s">
        <v>129</v>
      </c>
      <c r="B122" s="17" t="s">
        <v>141</v>
      </c>
      <c r="C122" s="17" t="s">
        <v>771</v>
      </c>
      <c r="D122" s="17" t="s">
        <v>121</v>
      </c>
      <c r="E122" s="18">
        <v>140</v>
      </c>
      <c r="F122" s="17" t="s">
        <v>139</v>
      </c>
      <c r="G122" s="18">
        <v>0</v>
      </c>
      <c r="H122" s="18">
        <v>1693</v>
      </c>
      <c r="I122" s="17" t="s">
        <v>772</v>
      </c>
      <c r="J122" s="17" t="s">
        <v>59</v>
      </c>
      <c r="K122" s="17" t="s">
        <v>240</v>
      </c>
      <c r="L122" s="17" t="s">
        <v>104</v>
      </c>
      <c r="M122" s="17" t="s">
        <v>20</v>
      </c>
      <c r="N122" s="19">
        <v>45952.58333333334</v>
      </c>
      <c r="O122" s="17" t="s">
        <v>133</v>
      </c>
      <c r="P122" s="17" t="s">
        <v>773</v>
      </c>
      <c r="Q122" s="17" t="s">
        <v>774</v>
      </c>
      <c r="R122" s="17" t="s">
        <v>99</v>
      </c>
      <c r="S122" s="17" t="s">
        <v>342</v>
      </c>
      <c r="T122" s="19">
        <v>45953.39097222222</v>
      </c>
      <c r="U122" s="17" t="s">
        <v>342</v>
      </c>
      <c r="V122" s="19">
        <v>45953.39097222222</v>
      </c>
    </row>
    <row r="123" spans="1:22">
      <c r="A123" s="17" t="s">
        <v>129</v>
      </c>
      <c r="B123" s="17" t="s">
        <v>148</v>
      </c>
      <c r="C123" s="17" t="s">
        <v>775</v>
      </c>
      <c r="D123" s="17" t="s">
        <v>121</v>
      </c>
      <c r="E123" s="18">
        <v>145</v>
      </c>
      <c r="F123" s="17" t="s">
        <v>139</v>
      </c>
      <c r="G123" s="18">
        <v>0</v>
      </c>
      <c r="H123" s="18">
        <v>1681</v>
      </c>
      <c r="I123" s="17" t="s">
        <v>776</v>
      </c>
      <c r="J123" s="17" t="s">
        <v>44</v>
      </c>
      <c r="K123" s="17" t="s">
        <v>462</v>
      </c>
      <c r="L123" s="17" t="s">
        <v>104</v>
      </c>
      <c r="M123" s="17" t="s">
        <v>22</v>
      </c>
      <c r="N123" s="19">
        <v>45947.10416666666</v>
      </c>
      <c r="O123" s="17" t="s">
        <v>133</v>
      </c>
      <c r="P123" s="17" t="s">
        <v>777</v>
      </c>
      <c r="Q123" s="17" t="s">
        <v>778</v>
      </c>
      <c r="R123" s="17" t="s">
        <v>99</v>
      </c>
      <c r="S123" s="17" t="s">
        <v>342</v>
      </c>
      <c r="T123" s="19">
        <v>45947.55486111111</v>
      </c>
      <c r="U123" s="17" t="s">
        <v>342</v>
      </c>
      <c r="V123" s="19">
        <v>45947.55486111111</v>
      </c>
    </row>
    <row r="124" spans="1:22">
      <c r="A124" s="17" t="s">
        <v>129</v>
      </c>
      <c r="B124" s="17" t="s">
        <v>141</v>
      </c>
      <c r="C124" s="17" t="s">
        <v>779</v>
      </c>
      <c r="D124" s="17" t="s">
        <v>121</v>
      </c>
      <c r="E124" s="18">
        <v>147</v>
      </c>
      <c r="F124" s="17" t="s">
        <v>139</v>
      </c>
      <c r="G124" s="18">
        <v>0</v>
      </c>
      <c r="H124" s="18">
        <v>1668</v>
      </c>
      <c r="I124" s="17" t="s">
        <v>780</v>
      </c>
      <c r="J124" s="17" t="s">
        <v>62</v>
      </c>
      <c r="K124" s="17" t="s">
        <v>395</v>
      </c>
      <c r="L124" s="17" t="s">
        <v>107</v>
      </c>
      <c r="M124" s="17" t="s">
        <v>14</v>
      </c>
      <c r="N124" s="19">
        <v>45945.42361111111</v>
      </c>
      <c r="O124" s="17" t="s">
        <v>133</v>
      </c>
      <c r="P124" s="17" t="s">
        <v>781</v>
      </c>
      <c r="Q124" s="17" t="s">
        <v>782</v>
      </c>
      <c r="R124" s="17" t="s">
        <v>99</v>
      </c>
      <c r="S124" s="17" t="s">
        <v>342</v>
      </c>
      <c r="T124" s="19">
        <v>45945.58263888889</v>
      </c>
      <c r="U124" s="17" t="s">
        <v>342</v>
      </c>
      <c r="V124" s="19">
        <v>45945.58263888889</v>
      </c>
    </row>
    <row r="125" spans="1:22">
      <c r="A125" s="17" t="s">
        <v>130</v>
      </c>
      <c r="B125" s="17" t="s">
        <v>142</v>
      </c>
      <c r="C125" s="17" t="s">
        <v>783</v>
      </c>
      <c r="D125" s="17" t="s">
        <v>121</v>
      </c>
      <c r="E125" s="18">
        <v>148</v>
      </c>
      <c r="F125" s="17" t="s">
        <v>139</v>
      </c>
      <c r="G125" s="18">
        <v>0</v>
      </c>
      <c r="H125" s="18">
        <v>1664</v>
      </c>
      <c r="I125" s="17" t="s">
        <v>784</v>
      </c>
      <c r="J125" s="17" t="s">
        <v>40</v>
      </c>
      <c r="K125" s="17" t="s">
        <v>500</v>
      </c>
      <c r="L125" s="17" t="s">
        <v>107</v>
      </c>
      <c r="M125" s="17" t="s">
        <v>14</v>
      </c>
      <c r="N125" s="19">
        <v>45944.6875</v>
      </c>
      <c r="O125" s="17" t="s">
        <v>133</v>
      </c>
      <c r="P125" s="17" t="s">
        <v>785</v>
      </c>
      <c r="Q125" s="17" t="s">
        <v>786</v>
      </c>
      <c r="R125" s="17" t="s">
        <v>99</v>
      </c>
      <c r="S125" s="17" t="s">
        <v>315</v>
      </c>
      <c r="T125" s="19">
        <v>45944.74722222222</v>
      </c>
      <c r="U125" s="17" t="s">
        <v>315</v>
      </c>
      <c r="V125" s="19">
        <v>45944.74722222222</v>
      </c>
    </row>
    <row r="126" spans="1:22">
      <c r="A126" s="17" t="s">
        <v>129</v>
      </c>
      <c r="B126" s="17" t="s">
        <v>143</v>
      </c>
      <c r="C126" s="17" t="s">
        <v>787</v>
      </c>
      <c r="D126" s="17" t="s">
        <v>121</v>
      </c>
      <c r="E126" s="18">
        <v>149</v>
      </c>
      <c r="F126" s="17" t="s">
        <v>139</v>
      </c>
      <c r="G126" s="18">
        <v>0</v>
      </c>
      <c r="H126" s="18">
        <v>1660</v>
      </c>
      <c r="I126" s="17" t="s">
        <v>788</v>
      </c>
      <c r="J126" s="17" t="s">
        <v>62</v>
      </c>
      <c r="K126" s="17" t="s">
        <v>475</v>
      </c>
      <c r="L126" s="17" t="s">
        <v>104</v>
      </c>
      <c r="M126" s="17" t="s">
        <v>8</v>
      </c>
      <c r="N126" s="19">
        <v>45943.72916666666</v>
      </c>
      <c r="O126" s="17" t="s">
        <v>133</v>
      </c>
      <c r="P126" s="17" t="s">
        <v>789</v>
      </c>
      <c r="Q126" s="17" t="s">
        <v>790</v>
      </c>
      <c r="R126" s="17" t="s">
        <v>99</v>
      </c>
      <c r="S126" s="17" t="s">
        <v>342</v>
      </c>
      <c r="T126" s="19">
        <v>45944.33611111111</v>
      </c>
      <c r="U126" s="17" t="s">
        <v>342</v>
      </c>
      <c r="V126" s="19">
        <v>45944.33611111111</v>
      </c>
    </row>
    <row r="127" spans="1:22">
      <c r="A127" s="17" t="s">
        <v>129</v>
      </c>
      <c r="B127" s="17" t="s">
        <v>145</v>
      </c>
      <c r="C127" s="17" t="s">
        <v>787</v>
      </c>
      <c r="D127" s="17" t="s">
        <v>121</v>
      </c>
      <c r="E127" s="18">
        <v>149</v>
      </c>
      <c r="F127" s="17" t="s">
        <v>139</v>
      </c>
      <c r="G127" s="18">
        <v>0</v>
      </c>
      <c r="H127" s="18">
        <v>1653</v>
      </c>
      <c r="I127" s="17" t="s">
        <v>791</v>
      </c>
      <c r="J127" s="17" t="s">
        <v>49</v>
      </c>
      <c r="K127" s="17" t="s">
        <v>312</v>
      </c>
      <c r="L127" s="17" t="s">
        <v>106</v>
      </c>
      <c r="M127" s="17" t="s">
        <v>10</v>
      </c>
      <c r="N127" s="19">
        <v>45943.47222222222</v>
      </c>
      <c r="O127" s="17" t="s">
        <v>133</v>
      </c>
      <c r="P127" s="17" t="s">
        <v>792</v>
      </c>
      <c r="Q127" s="17" t="s">
        <v>793</v>
      </c>
      <c r="R127" s="17" t="s">
        <v>99</v>
      </c>
      <c r="S127" s="17" t="s">
        <v>342</v>
      </c>
      <c r="T127" s="19">
        <v>45943.56388888889</v>
      </c>
      <c r="U127" s="17" t="s">
        <v>342</v>
      </c>
      <c r="V127" s="19">
        <v>45943.56388888889</v>
      </c>
    </row>
    <row r="128" spans="1:22">
      <c r="A128" s="17" t="s">
        <v>130</v>
      </c>
      <c r="B128" s="17" t="s">
        <v>144</v>
      </c>
      <c r="C128" s="17" t="s">
        <v>794</v>
      </c>
      <c r="D128" s="17" t="s">
        <v>121</v>
      </c>
      <c r="E128" s="18">
        <v>150</v>
      </c>
      <c r="F128" s="17" t="s">
        <v>139</v>
      </c>
      <c r="G128" s="18">
        <v>0</v>
      </c>
      <c r="H128" s="18">
        <v>1652</v>
      </c>
      <c r="I128" s="17" t="s">
        <v>795</v>
      </c>
      <c r="J128" s="17" t="s">
        <v>65</v>
      </c>
      <c r="K128" s="17" t="s">
        <v>335</v>
      </c>
      <c r="L128" s="17" t="s">
        <v>17</v>
      </c>
      <c r="M128" s="17" t="s">
        <v>17</v>
      </c>
      <c r="N128" s="19">
        <v>45942.375</v>
      </c>
      <c r="O128" s="17" t="s">
        <v>133</v>
      </c>
      <c r="P128" s="17" t="s">
        <v>796</v>
      </c>
      <c r="Q128" s="17" t="s">
        <v>797</v>
      </c>
      <c r="R128" s="17" t="s">
        <v>99</v>
      </c>
      <c r="S128" s="17" t="s">
        <v>342</v>
      </c>
      <c r="T128" s="19">
        <v>45943.42638888889</v>
      </c>
      <c r="U128" s="17" t="s">
        <v>342</v>
      </c>
      <c r="V128" s="19">
        <v>45943.42638888889</v>
      </c>
    </row>
    <row r="129" spans="1:22">
      <c r="A129" s="17" t="s">
        <v>129</v>
      </c>
      <c r="B129" s="17" t="s">
        <v>143</v>
      </c>
      <c r="C129" s="17" t="s">
        <v>798</v>
      </c>
      <c r="D129" s="17" t="s">
        <v>121</v>
      </c>
      <c r="E129" s="18">
        <v>152</v>
      </c>
      <c r="F129" s="17" t="s">
        <v>139</v>
      </c>
      <c r="G129" s="18">
        <v>0</v>
      </c>
      <c r="H129" s="18">
        <v>1641</v>
      </c>
      <c r="I129" s="17" t="s">
        <v>799</v>
      </c>
      <c r="J129" s="17" t="s">
        <v>72</v>
      </c>
      <c r="K129" s="17" t="s">
        <v>317</v>
      </c>
      <c r="L129" s="17" t="s">
        <v>104</v>
      </c>
      <c r="M129" s="17" t="s">
        <v>20</v>
      </c>
      <c r="N129" s="19">
        <v>45940.58333333334</v>
      </c>
      <c r="O129" s="17" t="s">
        <v>133</v>
      </c>
      <c r="P129" s="17" t="s">
        <v>800</v>
      </c>
      <c r="Q129" s="17" t="s">
        <v>801</v>
      </c>
      <c r="R129" s="17" t="s">
        <v>99</v>
      </c>
      <c r="S129" s="17" t="s">
        <v>342</v>
      </c>
      <c r="T129" s="19">
        <v>45940.72152777778</v>
      </c>
      <c r="U129" s="17" t="s">
        <v>342</v>
      </c>
      <c r="V129" s="19">
        <v>45940.72152777778</v>
      </c>
    </row>
    <row r="130" spans="1:22">
      <c r="A130" s="17" t="s">
        <v>129</v>
      </c>
      <c r="B130" s="17" t="s">
        <v>143</v>
      </c>
      <c r="C130" s="17" t="s">
        <v>802</v>
      </c>
      <c r="D130" s="17" t="s">
        <v>121</v>
      </c>
      <c r="E130" s="18">
        <v>154</v>
      </c>
      <c r="F130" s="17" t="s">
        <v>139</v>
      </c>
      <c r="G130" s="18">
        <v>0</v>
      </c>
      <c r="H130" s="18">
        <v>1631</v>
      </c>
      <c r="I130" s="17" t="s">
        <v>803</v>
      </c>
      <c r="J130" s="17" t="s">
        <v>36</v>
      </c>
      <c r="K130" s="17" t="s">
        <v>360</v>
      </c>
      <c r="L130" s="17" t="s">
        <v>106</v>
      </c>
      <c r="M130" s="17" t="s">
        <v>10</v>
      </c>
      <c r="N130" s="19">
        <v>45938.4375</v>
      </c>
      <c r="O130" s="17" t="s">
        <v>132</v>
      </c>
      <c r="P130" s="17" t="s">
        <v>804</v>
      </c>
      <c r="Q130" s="17" t="s">
        <v>805</v>
      </c>
      <c r="R130" s="17" t="s">
        <v>99</v>
      </c>
      <c r="S130" s="17" t="s">
        <v>342</v>
      </c>
      <c r="T130" s="19">
        <v>45939.33819444444</v>
      </c>
      <c r="U130" s="17" t="s">
        <v>342</v>
      </c>
      <c r="V130" s="19">
        <v>45939.33819444444</v>
      </c>
    </row>
    <row r="131" spans="1:22">
      <c r="A131" s="17" t="s">
        <v>130</v>
      </c>
      <c r="B131" s="17" t="s">
        <v>142</v>
      </c>
      <c r="C131" s="17" t="s">
        <v>806</v>
      </c>
      <c r="D131" s="17" t="s">
        <v>121</v>
      </c>
      <c r="E131" s="18">
        <v>155</v>
      </c>
      <c r="F131" s="17" t="s">
        <v>139</v>
      </c>
      <c r="G131" s="18">
        <v>0</v>
      </c>
      <c r="H131" s="18">
        <v>1619</v>
      </c>
      <c r="I131" s="17" t="s">
        <v>807</v>
      </c>
      <c r="J131" s="17" t="s">
        <v>40</v>
      </c>
      <c r="K131" s="17" t="s">
        <v>500</v>
      </c>
      <c r="L131" s="17" t="s">
        <v>104</v>
      </c>
      <c r="M131" s="17" t="s">
        <v>22</v>
      </c>
      <c r="N131" s="19">
        <v>45937.61805555555</v>
      </c>
      <c r="O131" s="17" t="s">
        <v>133</v>
      </c>
      <c r="P131" s="17" t="s">
        <v>808</v>
      </c>
      <c r="Q131" s="17" t="s">
        <v>809</v>
      </c>
      <c r="R131" s="17" t="s">
        <v>99</v>
      </c>
      <c r="S131" s="17" t="s">
        <v>315</v>
      </c>
      <c r="T131" s="19">
        <v>45937.64930555555</v>
      </c>
      <c r="U131" s="17" t="s">
        <v>315</v>
      </c>
      <c r="V131" s="19">
        <v>45937.64930555555</v>
      </c>
    </row>
    <row r="132" spans="1:22">
      <c r="A132" s="17" t="s">
        <v>130</v>
      </c>
      <c r="B132" s="17" t="s">
        <v>142</v>
      </c>
      <c r="C132" s="17" t="s">
        <v>806</v>
      </c>
      <c r="D132" s="17" t="s">
        <v>121</v>
      </c>
      <c r="E132" s="18">
        <v>155</v>
      </c>
      <c r="F132" s="17" t="s">
        <v>139</v>
      </c>
      <c r="G132" s="18">
        <v>0</v>
      </c>
      <c r="H132" s="18">
        <v>1612</v>
      </c>
      <c r="I132" s="17" t="s">
        <v>810</v>
      </c>
      <c r="J132" s="17" t="s">
        <v>62</v>
      </c>
      <c r="K132" s="17" t="s">
        <v>404</v>
      </c>
      <c r="L132" s="17" t="s">
        <v>104</v>
      </c>
      <c r="M132" s="17" t="s">
        <v>11</v>
      </c>
      <c r="N132" s="19">
        <v>45937.39583333334</v>
      </c>
      <c r="O132" s="17" t="s">
        <v>133</v>
      </c>
      <c r="P132" s="17" t="s">
        <v>811</v>
      </c>
      <c r="Q132" s="17" t="s">
        <v>812</v>
      </c>
      <c r="R132" s="17" t="s">
        <v>99</v>
      </c>
      <c r="S132" s="17" t="s">
        <v>342</v>
      </c>
      <c r="T132" s="19">
        <v>45937.44097222222</v>
      </c>
      <c r="U132" s="17" t="s">
        <v>342</v>
      </c>
      <c r="V132" s="19">
        <v>45937.44097222222</v>
      </c>
    </row>
    <row r="133" spans="1:22">
      <c r="A133" s="17" t="s">
        <v>130</v>
      </c>
      <c r="B133" s="17" t="s">
        <v>144</v>
      </c>
      <c r="C133" s="17" t="s">
        <v>813</v>
      </c>
      <c r="D133" s="17" t="s">
        <v>120</v>
      </c>
      <c r="E133" s="18">
        <v>167</v>
      </c>
      <c r="F133" s="17" t="s">
        <v>139</v>
      </c>
      <c r="G133" s="18">
        <v>0</v>
      </c>
      <c r="H133" s="18">
        <v>1553</v>
      </c>
      <c r="I133" s="17" t="s">
        <v>814</v>
      </c>
      <c r="J133" s="17" t="s">
        <v>62</v>
      </c>
      <c r="K133" s="17" t="s">
        <v>335</v>
      </c>
      <c r="L133" s="17" t="s">
        <v>107</v>
      </c>
      <c r="M133" s="17" t="s">
        <v>14</v>
      </c>
      <c r="N133" s="19">
        <v>45925.54861111111</v>
      </c>
      <c r="O133" s="17" t="s">
        <v>133</v>
      </c>
      <c r="P133" s="17" t="s">
        <v>815</v>
      </c>
      <c r="Q133" s="17" t="s">
        <v>816</v>
      </c>
      <c r="R133" s="17" t="s">
        <v>99</v>
      </c>
      <c r="S133" s="17" t="s">
        <v>342</v>
      </c>
      <c r="T133" s="19">
        <v>45925.76111111111</v>
      </c>
      <c r="U133" s="17" t="s">
        <v>342</v>
      </c>
      <c r="V133" s="19">
        <v>45925.76111111111</v>
      </c>
    </row>
    <row r="134" spans="1:22">
      <c r="A134" s="17" t="s">
        <v>130</v>
      </c>
      <c r="B134" s="17" t="s">
        <v>142</v>
      </c>
      <c r="C134" s="17" t="s">
        <v>817</v>
      </c>
      <c r="D134" s="17" t="s">
        <v>120</v>
      </c>
      <c r="E134" s="18">
        <v>168</v>
      </c>
      <c r="F134" s="17" t="s">
        <v>139</v>
      </c>
      <c r="G134" s="18">
        <v>0</v>
      </c>
      <c r="H134" s="18">
        <v>1545</v>
      </c>
      <c r="I134" s="17" t="s">
        <v>818</v>
      </c>
      <c r="J134" s="17" t="s">
        <v>71</v>
      </c>
      <c r="K134" s="17" t="s">
        <v>586</v>
      </c>
      <c r="L134" s="17" t="s">
        <v>104</v>
      </c>
      <c r="M134" s="17" t="s">
        <v>22</v>
      </c>
      <c r="N134" s="19">
        <v>45924.80555555555</v>
      </c>
      <c r="O134" s="17" t="s">
        <v>133</v>
      </c>
      <c r="P134" s="17" t="s">
        <v>819</v>
      </c>
      <c r="Q134" s="17" t="s">
        <v>820</v>
      </c>
      <c r="R134" s="17" t="s">
        <v>99</v>
      </c>
      <c r="S134" s="17" t="s">
        <v>315</v>
      </c>
      <c r="T134" s="19">
        <v>45925.36458333334</v>
      </c>
      <c r="U134" s="17" t="s">
        <v>315</v>
      </c>
      <c r="V134" s="19">
        <v>45925.36458333334</v>
      </c>
    </row>
    <row r="135" spans="1:22">
      <c r="A135" s="17" t="s">
        <v>130</v>
      </c>
      <c r="B135" s="17" t="s">
        <v>142</v>
      </c>
      <c r="C135" s="17" t="s">
        <v>817</v>
      </c>
      <c r="D135" s="17" t="s">
        <v>120</v>
      </c>
      <c r="E135" s="18">
        <v>168</v>
      </c>
      <c r="F135" s="17" t="s">
        <v>139</v>
      </c>
      <c r="G135" s="18">
        <v>0</v>
      </c>
      <c r="H135" s="18">
        <v>1536</v>
      </c>
      <c r="I135" s="17" t="s">
        <v>821</v>
      </c>
      <c r="J135" s="17" t="s">
        <v>52</v>
      </c>
      <c r="K135" s="17" t="s">
        <v>553</v>
      </c>
      <c r="L135" s="17" t="s">
        <v>104</v>
      </c>
      <c r="M135" s="17" t="s">
        <v>8</v>
      </c>
      <c r="N135" s="19">
        <v>45924.22916666666</v>
      </c>
      <c r="O135" s="17" t="s">
        <v>133</v>
      </c>
      <c r="P135" s="17" t="s">
        <v>822</v>
      </c>
      <c r="Q135" s="17" t="s">
        <v>703</v>
      </c>
      <c r="R135" s="17" t="s">
        <v>99</v>
      </c>
      <c r="S135" s="17" t="s">
        <v>315</v>
      </c>
      <c r="T135" s="19">
        <v>45924.36388888889</v>
      </c>
      <c r="U135" s="17" t="s">
        <v>315</v>
      </c>
      <c r="V135" s="19">
        <v>45924.36388888889</v>
      </c>
    </row>
    <row r="136" spans="1:22">
      <c r="A136" s="17" t="s">
        <v>130</v>
      </c>
      <c r="B136" s="17" t="s">
        <v>142</v>
      </c>
      <c r="C136" s="17" t="s">
        <v>823</v>
      </c>
      <c r="D136" s="17" t="s">
        <v>120</v>
      </c>
      <c r="E136" s="18">
        <v>169</v>
      </c>
      <c r="F136" s="17" t="s">
        <v>139</v>
      </c>
      <c r="G136" s="18">
        <v>0</v>
      </c>
      <c r="H136" s="18">
        <v>1533</v>
      </c>
      <c r="I136" s="17" t="s">
        <v>824</v>
      </c>
      <c r="J136" s="17" t="s">
        <v>40</v>
      </c>
      <c r="K136" s="17" t="s">
        <v>466</v>
      </c>
      <c r="L136" s="17" t="s">
        <v>105</v>
      </c>
      <c r="M136" s="17" t="s">
        <v>1</v>
      </c>
      <c r="N136" s="19">
        <v>45923.72916666666</v>
      </c>
      <c r="O136" s="17" t="s">
        <v>133</v>
      </c>
      <c r="P136" s="17" t="s">
        <v>825</v>
      </c>
      <c r="Q136" s="17" t="s">
        <v>826</v>
      </c>
      <c r="R136" s="17" t="s">
        <v>99</v>
      </c>
      <c r="S136" s="17" t="s">
        <v>342</v>
      </c>
      <c r="T136" s="19">
        <v>45923.75763888889</v>
      </c>
      <c r="U136" s="17" t="s">
        <v>342</v>
      </c>
      <c r="V136" s="19">
        <v>45923.75763888889</v>
      </c>
    </row>
    <row r="137" spans="1:22">
      <c r="A137" s="17" t="s">
        <v>130</v>
      </c>
      <c r="B137" s="17" t="s">
        <v>144</v>
      </c>
      <c r="C137" s="17" t="s">
        <v>827</v>
      </c>
      <c r="D137" s="17" t="s">
        <v>120</v>
      </c>
      <c r="E137" s="18">
        <v>170</v>
      </c>
      <c r="F137" s="17" t="s">
        <v>139</v>
      </c>
      <c r="G137" s="18">
        <v>0</v>
      </c>
      <c r="H137" s="18">
        <v>1522</v>
      </c>
      <c r="I137" s="17" t="s">
        <v>828</v>
      </c>
      <c r="J137" s="17" t="s">
        <v>65</v>
      </c>
      <c r="K137" s="17" t="s">
        <v>335</v>
      </c>
      <c r="L137" s="17" t="s">
        <v>104</v>
      </c>
      <c r="M137" s="17" t="s">
        <v>11</v>
      </c>
      <c r="N137" s="19">
        <v>45922.39583333334</v>
      </c>
      <c r="O137" s="17" t="s">
        <v>133</v>
      </c>
      <c r="P137" s="17" t="s">
        <v>829</v>
      </c>
      <c r="Q137" s="17" t="s">
        <v>830</v>
      </c>
      <c r="R137" s="17" t="s">
        <v>99</v>
      </c>
      <c r="S137" s="17" t="s">
        <v>342</v>
      </c>
      <c r="T137" s="19">
        <v>45922.46041666667</v>
      </c>
      <c r="U137" s="17" t="s">
        <v>342</v>
      </c>
      <c r="V137" s="19">
        <v>45922.46041666667</v>
      </c>
    </row>
    <row r="138" spans="1:22">
      <c r="A138" s="17" t="s">
        <v>129</v>
      </c>
      <c r="B138" s="17" t="s">
        <v>145</v>
      </c>
      <c r="C138" s="17" t="s">
        <v>831</v>
      </c>
      <c r="D138" s="17" t="s">
        <v>120</v>
      </c>
      <c r="E138" s="18">
        <v>173</v>
      </c>
      <c r="F138" s="17" t="s">
        <v>139</v>
      </c>
      <c r="G138" s="18">
        <v>0</v>
      </c>
      <c r="H138" s="18">
        <v>1513</v>
      </c>
      <c r="I138" s="17" t="s">
        <v>832</v>
      </c>
      <c r="J138" s="17" t="s">
        <v>49</v>
      </c>
      <c r="K138" s="17" t="s">
        <v>312</v>
      </c>
      <c r="L138" s="17" t="s">
        <v>107</v>
      </c>
      <c r="M138" s="17" t="s">
        <v>14</v>
      </c>
      <c r="N138" s="19">
        <v>45919.55555555555</v>
      </c>
      <c r="O138" s="17" t="s">
        <v>133</v>
      </c>
      <c r="P138" s="17" t="s">
        <v>833</v>
      </c>
      <c r="Q138" s="17" t="s">
        <v>834</v>
      </c>
      <c r="R138" s="17" t="s">
        <v>99</v>
      </c>
      <c r="S138" s="17" t="s">
        <v>342</v>
      </c>
      <c r="T138" s="19">
        <v>45919.66527777778</v>
      </c>
      <c r="U138" s="17" t="s">
        <v>342</v>
      </c>
      <c r="V138" s="19">
        <v>45919.66527777778</v>
      </c>
    </row>
    <row r="139" spans="1:22">
      <c r="A139" s="17" t="s">
        <v>130</v>
      </c>
      <c r="B139" s="17" t="s">
        <v>142</v>
      </c>
      <c r="C139" s="17" t="s">
        <v>835</v>
      </c>
      <c r="D139" s="17" t="s">
        <v>120</v>
      </c>
      <c r="E139" s="18">
        <v>174</v>
      </c>
      <c r="F139" s="17" t="s">
        <v>139</v>
      </c>
      <c r="G139" s="18">
        <v>0</v>
      </c>
      <c r="H139" s="18">
        <v>1506</v>
      </c>
      <c r="I139" s="17" t="s">
        <v>836</v>
      </c>
      <c r="J139" s="17" t="s">
        <v>62</v>
      </c>
      <c r="K139" s="17" t="s">
        <v>553</v>
      </c>
      <c r="L139" s="17" t="s">
        <v>104</v>
      </c>
      <c r="M139" s="17" t="s">
        <v>11</v>
      </c>
      <c r="N139" s="19">
        <v>45918.38194444445</v>
      </c>
      <c r="O139" s="17" t="s">
        <v>132</v>
      </c>
      <c r="P139" s="17" t="s">
        <v>837</v>
      </c>
      <c r="Q139" s="17" t="s">
        <v>838</v>
      </c>
      <c r="R139" s="17" t="s">
        <v>99</v>
      </c>
      <c r="S139" s="17" t="s">
        <v>315</v>
      </c>
      <c r="T139" s="19">
        <v>45918.55</v>
      </c>
      <c r="U139" s="17" t="s">
        <v>315</v>
      </c>
      <c r="V139" s="19">
        <v>45918.55</v>
      </c>
    </row>
    <row r="140" spans="1:22">
      <c r="A140" s="17" t="s">
        <v>129</v>
      </c>
      <c r="B140" s="17" t="s">
        <v>143</v>
      </c>
      <c r="C140" s="17" t="s">
        <v>839</v>
      </c>
      <c r="D140" s="17" t="s">
        <v>120</v>
      </c>
      <c r="E140" s="18">
        <v>177</v>
      </c>
      <c r="F140" s="17" t="s">
        <v>139</v>
      </c>
      <c r="G140" s="18">
        <v>0</v>
      </c>
      <c r="H140" s="18">
        <v>1495</v>
      </c>
      <c r="I140" s="17" t="s">
        <v>840</v>
      </c>
      <c r="J140" s="17" t="s">
        <v>55</v>
      </c>
      <c r="K140" s="17" t="s">
        <v>330</v>
      </c>
      <c r="L140" s="17" t="s">
        <v>104</v>
      </c>
      <c r="M140" s="17" t="s">
        <v>4</v>
      </c>
      <c r="N140" s="19">
        <v>45915.4375</v>
      </c>
      <c r="O140" s="17" t="s">
        <v>133</v>
      </c>
      <c r="P140" s="17" t="s">
        <v>841</v>
      </c>
      <c r="Q140" s="17" t="s">
        <v>842</v>
      </c>
      <c r="R140" s="17" t="s">
        <v>99</v>
      </c>
      <c r="S140" s="17" t="s">
        <v>315</v>
      </c>
      <c r="T140" s="19">
        <v>45915.46666666667</v>
      </c>
      <c r="U140" s="17" t="s">
        <v>315</v>
      </c>
      <c r="V140" s="19">
        <v>45915.46666666667</v>
      </c>
    </row>
    <row r="141" spans="1:22">
      <c r="A141" s="17" t="s">
        <v>130</v>
      </c>
      <c r="B141" s="17" t="s">
        <v>142</v>
      </c>
      <c r="C141" s="17" t="s">
        <v>843</v>
      </c>
      <c r="D141" s="17" t="s">
        <v>120</v>
      </c>
      <c r="E141" s="18">
        <v>182</v>
      </c>
      <c r="F141" s="17" t="s">
        <v>139</v>
      </c>
      <c r="G141" s="18">
        <v>0</v>
      </c>
      <c r="H141" s="18">
        <v>1477</v>
      </c>
      <c r="I141" s="17" t="s">
        <v>844</v>
      </c>
      <c r="J141" s="17" t="s">
        <v>40</v>
      </c>
      <c r="K141" s="17" t="s">
        <v>321</v>
      </c>
      <c r="L141" s="17" t="s">
        <v>104</v>
      </c>
      <c r="M141" s="17" t="s">
        <v>4</v>
      </c>
      <c r="N141" s="19">
        <v>45910.76388888889</v>
      </c>
      <c r="O141" s="17" t="s">
        <v>132</v>
      </c>
      <c r="P141" s="17" t="s">
        <v>845</v>
      </c>
      <c r="Q141" s="17" t="s">
        <v>846</v>
      </c>
      <c r="R141" s="17" t="s">
        <v>99</v>
      </c>
      <c r="S141" s="17" t="s">
        <v>315</v>
      </c>
      <c r="T141" s="19">
        <v>45911.35625</v>
      </c>
      <c r="U141" s="17" t="s">
        <v>315</v>
      </c>
      <c r="V141" s="19">
        <v>45911.35625</v>
      </c>
    </row>
    <row r="142" spans="1:22">
      <c r="A142" s="17" t="s">
        <v>130</v>
      </c>
      <c r="B142" s="17" t="s">
        <v>142</v>
      </c>
      <c r="C142" s="17" t="s">
        <v>843</v>
      </c>
      <c r="D142" s="17" t="s">
        <v>120</v>
      </c>
      <c r="E142" s="18">
        <v>182</v>
      </c>
      <c r="F142" s="17" t="s">
        <v>139</v>
      </c>
      <c r="G142" s="18">
        <v>0</v>
      </c>
      <c r="H142" s="18">
        <v>1476</v>
      </c>
      <c r="I142" s="17" t="s">
        <v>847</v>
      </c>
      <c r="J142" s="17" t="s">
        <v>40</v>
      </c>
      <c r="K142" s="17" t="s">
        <v>466</v>
      </c>
      <c r="L142" s="17" t="s">
        <v>104</v>
      </c>
      <c r="M142" s="17" t="s">
        <v>8</v>
      </c>
      <c r="N142" s="19">
        <v>45910.6875</v>
      </c>
      <c r="O142" s="17" t="s">
        <v>132</v>
      </c>
      <c r="P142" s="17" t="s">
        <v>848</v>
      </c>
      <c r="Q142" s="17" t="s">
        <v>849</v>
      </c>
      <c r="R142" s="17" t="s">
        <v>99</v>
      </c>
      <c r="S142" s="17" t="s">
        <v>579</v>
      </c>
      <c r="T142" s="19">
        <v>45910.73125</v>
      </c>
      <c r="U142" s="17" t="s">
        <v>579</v>
      </c>
      <c r="V142" s="19">
        <v>45910.73125</v>
      </c>
    </row>
    <row r="143" spans="1:22">
      <c r="A143" s="17" t="s">
        <v>129</v>
      </c>
      <c r="B143" s="17" t="s">
        <v>141</v>
      </c>
      <c r="C143" s="17" t="s">
        <v>850</v>
      </c>
      <c r="D143" s="17" t="s">
        <v>120</v>
      </c>
      <c r="E143" s="18">
        <v>184</v>
      </c>
      <c r="F143" s="17" t="s">
        <v>139</v>
      </c>
      <c r="G143" s="18">
        <v>0</v>
      </c>
      <c r="H143" s="18">
        <v>1465</v>
      </c>
      <c r="I143" s="17" t="s">
        <v>851</v>
      </c>
      <c r="J143" s="17" t="s">
        <v>62</v>
      </c>
      <c r="K143" s="17" t="s">
        <v>352</v>
      </c>
      <c r="L143" s="17" t="s">
        <v>106</v>
      </c>
      <c r="M143" s="17" t="s">
        <v>7</v>
      </c>
      <c r="N143" s="19">
        <v>45908.66666666666</v>
      </c>
      <c r="O143" s="17" t="s">
        <v>133</v>
      </c>
      <c r="P143" s="17" t="s">
        <v>852</v>
      </c>
      <c r="Q143" s="17" t="s">
        <v>853</v>
      </c>
      <c r="R143" s="17" t="s">
        <v>99</v>
      </c>
      <c r="S143" s="17" t="s">
        <v>315</v>
      </c>
      <c r="T143" s="19">
        <v>45909.56736111111</v>
      </c>
      <c r="U143" s="17" t="s">
        <v>315</v>
      </c>
      <c r="V143" s="19">
        <v>45909.56736111111</v>
      </c>
    </row>
    <row r="144" spans="1:22">
      <c r="A144" s="17" t="s">
        <v>129</v>
      </c>
      <c r="B144" s="17" t="s">
        <v>141</v>
      </c>
      <c r="C144" s="17" t="s">
        <v>850</v>
      </c>
      <c r="D144" s="17" t="s">
        <v>120</v>
      </c>
      <c r="E144" s="18">
        <v>184</v>
      </c>
      <c r="F144" s="17" t="s">
        <v>139</v>
      </c>
      <c r="G144" s="18">
        <v>0</v>
      </c>
      <c r="H144" s="18">
        <v>1460</v>
      </c>
      <c r="I144" s="17" t="s">
        <v>854</v>
      </c>
      <c r="J144" s="17" t="s">
        <v>62</v>
      </c>
      <c r="K144" s="17" t="s">
        <v>395</v>
      </c>
      <c r="L144" s="17" t="s">
        <v>105</v>
      </c>
      <c r="M144" s="17" t="s">
        <v>6</v>
      </c>
      <c r="N144" s="19">
        <v>45908.33333333334</v>
      </c>
      <c r="O144" s="17" t="s">
        <v>132</v>
      </c>
      <c r="P144" s="17" t="s">
        <v>855</v>
      </c>
      <c r="Q144" s="17" t="s">
        <v>856</v>
      </c>
      <c r="R144" s="17" t="s">
        <v>99</v>
      </c>
      <c r="S144" s="17" t="s">
        <v>315</v>
      </c>
      <c r="T144" s="19">
        <v>45908.62916666667</v>
      </c>
      <c r="U144" s="17" t="s">
        <v>315</v>
      </c>
      <c r="V144" s="19">
        <v>45908.62916666667</v>
      </c>
    </row>
    <row r="145" spans="1:22">
      <c r="A145" s="17" t="s">
        <v>130</v>
      </c>
      <c r="B145" s="17" t="s">
        <v>144</v>
      </c>
      <c r="C145" s="17" t="s">
        <v>850</v>
      </c>
      <c r="D145" s="17" t="s">
        <v>120</v>
      </c>
      <c r="E145" s="18">
        <v>184</v>
      </c>
      <c r="F145" s="17" t="s">
        <v>139</v>
      </c>
      <c r="G145" s="18">
        <v>0</v>
      </c>
      <c r="H145" s="18">
        <v>1458</v>
      </c>
      <c r="I145" s="17" t="s">
        <v>857</v>
      </c>
      <c r="J145" s="17" t="s">
        <v>65</v>
      </c>
      <c r="K145" s="17" t="s">
        <v>335</v>
      </c>
      <c r="L145" s="17" t="s">
        <v>104</v>
      </c>
      <c r="M145" s="17" t="s">
        <v>8</v>
      </c>
      <c r="N145" s="19">
        <v>45908.36111111111</v>
      </c>
      <c r="O145" s="17" t="s">
        <v>133</v>
      </c>
      <c r="P145" s="17" t="s">
        <v>858</v>
      </c>
      <c r="Q145" s="17" t="s">
        <v>859</v>
      </c>
      <c r="R145" s="17" t="s">
        <v>99</v>
      </c>
      <c r="S145" s="17" t="s">
        <v>315</v>
      </c>
      <c r="T145" s="19">
        <v>45908.43263888889</v>
      </c>
      <c r="U145" s="17" t="s">
        <v>315</v>
      </c>
      <c r="V145" s="19">
        <v>45908.43263888889</v>
      </c>
    </row>
    <row r="146" spans="1:22">
      <c r="A146" s="17" t="s">
        <v>130</v>
      </c>
      <c r="B146" s="17" t="s">
        <v>144</v>
      </c>
      <c r="C146" s="17" t="s">
        <v>860</v>
      </c>
      <c r="D146" s="17" t="s">
        <v>120</v>
      </c>
      <c r="E146" s="18">
        <v>190</v>
      </c>
      <c r="F146" s="17" t="s">
        <v>139</v>
      </c>
      <c r="G146" s="18">
        <v>0</v>
      </c>
      <c r="H146" s="18">
        <v>1430</v>
      </c>
      <c r="I146" s="17" t="s">
        <v>861</v>
      </c>
      <c r="J146" s="17" t="s">
        <v>65</v>
      </c>
      <c r="K146" s="17" t="s">
        <v>335</v>
      </c>
      <c r="L146" s="17" t="s">
        <v>104</v>
      </c>
      <c r="M146" s="17" t="s">
        <v>11</v>
      </c>
      <c r="N146" s="19">
        <v>45902.35416666666</v>
      </c>
      <c r="O146" s="17" t="s">
        <v>132</v>
      </c>
      <c r="P146" s="17" t="s">
        <v>862</v>
      </c>
      <c r="Q146" s="17" t="s">
        <v>863</v>
      </c>
      <c r="R146" s="17" t="s">
        <v>99</v>
      </c>
      <c r="S146" s="17" t="s">
        <v>342</v>
      </c>
      <c r="T146" s="19">
        <v>45902.48611111111</v>
      </c>
      <c r="U146" s="17" t="s">
        <v>342</v>
      </c>
      <c r="V146" s="19">
        <v>45902.48611111111</v>
      </c>
    </row>
    <row r="147" spans="1:22">
      <c r="A147" s="17" t="s">
        <v>130</v>
      </c>
      <c r="B147" s="17" t="s">
        <v>144</v>
      </c>
      <c r="C147" s="17" t="s">
        <v>864</v>
      </c>
      <c r="D147" s="17" t="s">
        <v>120</v>
      </c>
      <c r="E147" s="18">
        <v>191</v>
      </c>
      <c r="F147" s="17" t="s">
        <v>139</v>
      </c>
      <c r="G147" s="18">
        <v>0</v>
      </c>
      <c r="H147" s="18">
        <v>1429</v>
      </c>
      <c r="I147" s="17" t="s">
        <v>865</v>
      </c>
      <c r="J147" s="17" t="s">
        <v>65</v>
      </c>
      <c r="K147" s="17" t="s">
        <v>144</v>
      </c>
      <c r="L147" s="17" t="s">
        <v>105</v>
      </c>
      <c r="M147" s="17" t="s">
        <v>1</v>
      </c>
      <c r="N147" s="19">
        <v>45901.52083333334</v>
      </c>
      <c r="O147" s="17" t="s">
        <v>133</v>
      </c>
      <c r="P147" s="17" t="s">
        <v>866</v>
      </c>
      <c r="Q147" s="17" t="s">
        <v>867</v>
      </c>
      <c r="R147" s="17" t="s">
        <v>99</v>
      </c>
      <c r="S147" s="17" t="s">
        <v>315</v>
      </c>
      <c r="T147" s="19">
        <v>45902.35694444444</v>
      </c>
      <c r="U147" s="17" t="s">
        <v>315</v>
      </c>
      <c r="V147" s="19">
        <v>45902.35694444444</v>
      </c>
    </row>
    <row r="148" spans="1:22">
      <c r="A148" s="17" t="s">
        <v>129</v>
      </c>
      <c r="B148" s="17" t="s">
        <v>141</v>
      </c>
      <c r="C148" s="17" t="s">
        <v>864</v>
      </c>
      <c r="D148" s="17" t="s">
        <v>120</v>
      </c>
      <c r="E148" s="18">
        <v>191</v>
      </c>
      <c r="F148" s="17" t="s">
        <v>139</v>
      </c>
      <c r="G148" s="18">
        <v>0</v>
      </c>
      <c r="H148" s="18">
        <v>1425</v>
      </c>
      <c r="I148" s="17" t="s">
        <v>868</v>
      </c>
      <c r="J148" s="17" t="s">
        <v>66</v>
      </c>
      <c r="K148" s="17" t="s">
        <v>433</v>
      </c>
      <c r="L148" s="17" t="s">
        <v>104</v>
      </c>
      <c r="M148" s="17" t="s">
        <v>4</v>
      </c>
      <c r="N148" s="19">
        <v>45901.64583333334</v>
      </c>
      <c r="O148" s="17" t="s">
        <v>132</v>
      </c>
      <c r="P148" s="17" t="s">
        <v>869</v>
      </c>
      <c r="Q148" s="17" t="s">
        <v>870</v>
      </c>
      <c r="R148" s="17" t="s">
        <v>99</v>
      </c>
      <c r="S148" s="17" t="s">
        <v>315</v>
      </c>
      <c r="T148" s="19">
        <v>45901.69930555556</v>
      </c>
      <c r="U148" s="17" t="s">
        <v>315</v>
      </c>
      <c r="V148" s="19">
        <v>45901.69930555556</v>
      </c>
    </row>
    <row r="149" spans="1:22">
      <c r="A149" s="17" t="s">
        <v>129</v>
      </c>
      <c r="B149" s="17" t="s">
        <v>141</v>
      </c>
      <c r="C149" s="17" t="s">
        <v>871</v>
      </c>
      <c r="D149" s="17" t="s">
        <v>119</v>
      </c>
      <c r="E149" s="18">
        <v>194</v>
      </c>
      <c r="F149" s="17" t="s">
        <v>139</v>
      </c>
      <c r="G149" s="18">
        <v>0</v>
      </c>
      <c r="H149" s="18">
        <v>1414</v>
      </c>
      <c r="I149" s="17" t="s">
        <v>872</v>
      </c>
      <c r="J149" s="17" t="s">
        <v>62</v>
      </c>
      <c r="K149" s="17" t="s">
        <v>352</v>
      </c>
      <c r="L149" s="17" t="s">
        <v>105</v>
      </c>
      <c r="M149" s="17" t="s">
        <v>1</v>
      </c>
      <c r="N149" s="19">
        <v>45898.44444444445</v>
      </c>
      <c r="O149" s="17" t="s">
        <v>133</v>
      </c>
      <c r="P149" s="17" t="s">
        <v>873</v>
      </c>
      <c r="Q149" s="17" t="s">
        <v>874</v>
      </c>
      <c r="R149" s="17" t="s">
        <v>99</v>
      </c>
      <c r="S149" s="17" t="s">
        <v>315</v>
      </c>
      <c r="T149" s="19">
        <v>45898.47569444445</v>
      </c>
      <c r="U149" s="17" t="s">
        <v>315</v>
      </c>
      <c r="V149" s="19">
        <v>45898.47569444445</v>
      </c>
    </row>
    <row r="150" spans="1:22">
      <c r="A150" s="17" t="s">
        <v>129</v>
      </c>
      <c r="B150" s="17" t="s">
        <v>141</v>
      </c>
      <c r="C150" s="17" t="s">
        <v>875</v>
      </c>
      <c r="D150" s="17" t="s">
        <v>119</v>
      </c>
      <c r="E150" s="18">
        <v>195</v>
      </c>
      <c r="F150" s="17" t="s">
        <v>139</v>
      </c>
      <c r="G150" s="18">
        <v>0</v>
      </c>
      <c r="H150" s="18">
        <v>1412</v>
      </c>
      <c r="I150" s="17" t="s">
        <v>876</v>
      </c>
      <c r="J150" s="17" t="s">
        <v>62</v>
      </c>
      <c r="K150" s="17" t="s">
        <v>352</v>
      </c>
      <c r="L150" s="17" t="s">
        <v>105</v>
      </c>
      <c r="M150" s="17" t="s">
        <v>1</v>
      </c>
      <c r="N150" s="19">
        <v>45897.75694444445</v>
      </c>
      <c r="O150" s="17" t="s">
        <v>133</v>
      </c>
      <c r="P150" s="17" t="s">
        <v>877</v>
      </c>
      <c r="Q150" s="17" t="s">
        <v>878</v>
      </c>
      <c r="R150" s="17" t="s">
        <v>99</v>
      </c>
      <c r="S150" s="17" t="s">
        <v>342</v>
      </c>
      <c r="T150" s="19">
        <v>45898.37986111111</v>
      </c>
      <c r="U150" s="17" t="s">
        <v>342</v>
      </c>
      <c r="V150" s="19">
        <v>45902.69791666666</v>
      </c>
    </row>
    <row r="151" spans="1:22">
      <c r="A151" s="17" t="s">
        <v>130</v>
      </c>
      <c r="B151" s="17" t="s">
        <v>142</v>
      </c>
      <c r="C151" s="17" t="s">
        <v>879</v>
      </c>
      <c r="D151" s="17" t="s">
        <v>119</v>
      </c>
      <c r="E151" s="18">
        <v>197</v>
      </c>
      <c r="F151" s="17" t="s">
        <v>139</v>
      </c>
      <c r="G151" s="18">
        <v>0</v>
      </c>
      <c r="H151" s="18">
        <v>1403</v>
      </c>
      <c r="I151" s="17" t="s">
        <v>880</v>
      </c>
      <c r="J151" s="17" t="s">
        <v>62</v>
      </c>
      <c r="K151" s="17" t="s">
        <v>586</v>
      </c>
      <c r="L151" s="17" t="s">
        <v>105</v>
      </c>
      <c r="M151" s="17" t="s">
        <v>1</v>
      </c>
      <c r="N151" s="19">
        <v>45895.70833333334</v>
      </c>
      <c r="O151" s="17" t="s">
        <v>133</v>
      </c>
      <c r="P151" s="17" t="s">
        <v>881</v>
      </c>
      <c r="Q151" s="17" t="s">
        <v>882</v>
      </c>
      <c r="R151" s="17" t="s">
        <v>99</v>
      </c>
      <c r="S151" s="17" t="s">
        <v>579</v>
      </c>
      <c r="T151" s="19">
        <v>45895.72916666666</v>
      </c>
      <c r="U151" s="17" t="s">
        <v>579</v>
      </c>
      <c r="V151" s="19">
        <v>45895.72916666666</v>
      </c>
    </row>
    <row r="152" spans="1:22">
      <c r="A152" s="17" t="s">
        <v>129</v>
      </c>
      <c r="B152" s="17" t="s">
        <v>143</v>
      </c>
      <c r="C152" s="17" t="s">
        <v>883</v>
      </c>
      <c r="D152" s="17" t="s">
        <v>119</v>
      </c>
      <c r="E152" s="18">
        <v>198</v>
      </c>
      <c r="F152" s="17" t="s">
        <v>139</v>
      </c>
      <c r="G152" s="18">
        <v>0</v>
      </c>
      <c r="H152" s="18">
        <v>1399</v>
      </c>
      <c r="I152" s="17" t="s">
        <v>884</v>
      </c>
      <c r="J152" s="17" t="s">
        <v>29</v>
      </c>
      <c r="K152" s="17" t="s">
        <v>662</v>
      </c>
      <c r="L152" s="17" t="s">
        <v>104</v>
      </c>
      <c r="M152" s="17" t="s">
        <v>20</v>
      </c>
      <c r="N152" s="19">
        <v>45894.40277777778</v>
      </c>
      <c r="O152" s="17" t="s">
        <v>133</v>
      </c>
      <c r="P152" s="17" t="s">
        <v>885</v>
      </c>
      <c r="Q152" s="17" t="s">
        <v>886</v>
      </c>
      <c r="R152" s="17" t="s">
        <v>99</v>
      </c>
      <c r="S152" s="17" t="s">
        <v>342</v>
      </c>
      <c r="T152" s="19">
        <v>45894.44027777778</v>
      </c>
      <c r="U152" s="17" t="s">
        <v>342</v>
      </c>
      <c r="V152" s="19">
        <v>45894.44027777778</v>
      </c>
    </row>
    <row r="153" spans="1:22">
      <c r="A153" s="17" t="s">
        <v>130</v>
      </c>
      <c r="B153" s="17" t="s">
        <v>144</v>
      </c>
      <c r="C153" s="17" t="s">
        <v>887</v>
      </c>
      <c r="D153" s="17" t="s">
        <v>119</v>
      </c>
      <c r="E153" s="18">
        <v>201</v>
      </c>
      <c r="F153" s="17" t="s">
        <v>139</v>
      </c>
      <c r="G153" s="18">
        <v>0</v>
      </c>
      <c r="H153" s="18">
        <v>1395</v>
      </c>
      <c r="I153" s="17" t="s">
        <v>888</v>
      </c>
      <c r="J153" s="17" t="s">
        <v>65</v>
      </c>
      <c r="K153" s="17" t="s">
        <v>335</v>
      </c>
      <c r="L153" s="17" t="s">
        <v>105</v>
      </c>
      <c r="M153" s="17" t="s">
        <v>1</v>
      </c>
      <c r="N153" s="19">
        <v>45891.77083333334</v>
      </c>
      <c r="O153" s="17" t="s">
        <v>133</v>
      </c>
      <c r="P153" s="17" t="s">
        <v>889</v>
      </c>
      <c r="Q153" s="17" t="s">
        <v>890</v>
      </c>
      <c r="R153" s="17" t="s">
        <v>99</v>
      </c>
      <c r="S153" s="17" t="s">
        <v>342</v>
      </c>
      <c r="T153" s="19">
        <v>45892.34930555556</v>
      </c>
      <c r="U153" s="17" t="s">
        <v>342</v>
      </c>
      <c r="V153" s="19">
        <v>45892.34930555556</v>
      </c>
    </row>
    <row r="154" spans="1:22">
      <c r="A154" s="17" t="s">
        <v>129</v>
      </c>
      <c r="B154" s="17" t="s">
        <v>141</v>
      </c>
      <c r="C154" s="17" t="s">
        <v>887</v>
      </c>
      <c r="D154" s="17" t="s">
        <v>119</v>
      </c>
      <c r="E154" s="18">
        <v>201</v>
      </c>
      <c r="F154" s="17" t="s">
        <v>139</v>
      </c>
      <c r="G154" s="18">
        <v>0</v>
      </c>
      <c r="H154" s="18">
        <v>1394</v>
      </c>
      <c r="I154" s="17" t="s">
        <v>891</v>
      </c>
      <c r="J154" s="17" t="s">
        <v>62</v>
      </c>
      <c r="K154" s="17" t="s">
        <v>352</v>
      </c>
      <c r="L154" s="17" t="s">
        <v>105</v>
      </c>
      <c r="M154" s="17" t="s">
        <v>1</v>
      </c>
      <c r="N154" s="19">
        <v>45891.57638888889</v>
      </c>
      <c r="O154" s="17" t="s">
        <v>132</v>
      </c>
      <c r="P154" s="17" t="s">
        <v>892</v>
      </c>
      <c r="Q154" s="17" t="s">
        <v>893</v>
      </c>
      <c r="R154" s="17" t="s">
        <v>99</v>
      </c>
      <c r="S154" s="17" t="s">
        <v>315</v>
      </c>
      <c r="T154" s="19">
        <v>45891.72222222222</v>
      </c>
      <c r="U154" s="17" t="s">
        <v>315</v>
      </c>
      <c r="V154" s="19">
        <v>45891.72222222222</v>
      </c>
    </row>
    <row r="155" spans="1:22">
      <c r="A155" s="17" t="s">
        <v>129</v>
      </c>
      <c r="B155" s="17" t="s">
        <v>145</v>
      </c>
      <c r="C155" s="17" t="s">
        <v>894</v>
      </c>
      <c r="D155" s="17" t="s">
        <v>119</v>
      </c>
      <c r="E155" s="18">
        <v>203</v>
      </c>
      <c r="F155" s="17" t="s">
        <v>139</v>
      </c>
      <c r="G155" s="18">
        <v>0</v>
      </c>
      <c r="H155" s="18">
        <v>1386</v>
      </c>
      <c r="I155" s="17" t="s">
        <v>895</v>
      </c>
      <c r="J155" s="17" t="s">
        <v>62</v>
      </c>
      <c r="K155" s="17" t="s">
        <v>312</v>
      </c>
      <c r="L155" s="17" t="s">
        <v>106</v>
      </c>
      <c r="M155" s="17" t="s">
        <v>2</v>
      </c>
      <c r="N155" s="19">
        <v>45889.55555555555</v>
      </c>
      <c r="O155" s="17" t="s">
        <v>132</v>
      </c>
      <c r="P155" s="17" t="s">
        <v>896</v>
      </c>
      <c r="Q155" s="17" t="s">
        <v>897</v>
      </c>
      <c r="R155" s="17" t="s">
        <v>99</v>
      </c>
      <c r="S155" s="17" t="s">
        <v>342</v>
      </c>
      <c r="T155" s="19">
        <v>45890.61180555556</v>
      </c>
      <c r="U155" s="17" t="s">
        <v>342</v>
      </c>
      <c r="V155" s="19">
        <v>45890.61180555556</v>
      </c>
    </row>
    <row r="156" spans="1:22">
      <c r="A156" s="17" t="s">
        <v>130</v>
      </c>
      <c r="B156" s="17" t="s">
        <v>142</v>
      </c>
      <c r="C156" s="17" t="s">
        <v>898</v>
      </c>
      <c r="D156" s="17" t="s">
        <v>119</v>
      </c>
      <c r="E156" s="18">
        <v>204</v>
      </c>
      <c r="F156" s="17" t="s">
        <v>139</v>
      </c>
      <c r="G156" s="18">
        <v>0</v>
      </c>
      <c r="H156" s="18">
        <v>1379</v>
      </c>
      <c r="I156" s="17" t="s">
        <v>899</v>
      </c>
      <c r="J156" s="17" t="s">
        <v>67</v>
      </c>
      <c r="K156" s="17" t="s">
        <v>586</v>
      </c>
      <c r="L156" s="17" t="s">
        <v>105</v>
      </c>
      <c r="M156" s="17" t="s">
        <v>1</v>
      </c>
      <c r="N156" s="19">
        <v>45888.88888888889</v>
      </c>
      <c r="O156" s="17" t="s">
        <v>133</v>
      </c>
      <c r="P156" s="17" t="s">
        <v>900</v>
      </c>
      <c r="Q156" s="17" t="s">
        <v>901</v>
      </c>
      <c r="R156" s="17" t="s">
        <v>99</v>
      </c>
      <c r="S156" s="17" t="s">
        <v>342</v>
      </c>
      <c r="T156" s="19">
        <v>45889.36388888889</v>
      </c>
      <c r="U156" s="17" t="s">
        <v>342</v>
      </c>
      <c r="V156" s="19">
        <v>45889.36388888889</v>
      </c>
    </row>
    <row r="157" spans="1:22">
      <c r="A157" s="17" t="s">
        <v>130</v>
      </c>
      <c r="B157" s="17" t="s">
        <v>142</v>
      </c>
      <c r="C157" s="17" t="s">
        <v>898</v>
      </c>
      <c r="D157" s="17" t="s">
        <v>119</v>
      </c>
      <c r="E157" s="18">
        <v>204</v>
      </c>
      <c r="F157" s="17" t="s">
        <v>139</v>
      </c>
      <c r="G157" s="18">
        <v>0</v>
      </c>
      <c r="H157" s="18">
        <v>1378</v>
      </c>
      <c r="I157" s="17" t="s">
        <v>902</v>
      </c>
      <c r="J157" s="17" t="s">
        <v>52</v>
      </c>
      <c r="K157" s="17" t="s">
        <v>553</v>
      </c>
      <c r="L157" s="17" t="s">
        <v>104</v>
      </c>
      <c r="M157" s="17" t="s">
        <v>8</v>
      </c>
      <c r="N157" s="19">
        <v>45888.85416666666</v>
      </c>
      <c r="O157" s="17" t="s">
        <v>133</v>
      </c>
      <c r="P157" s="17" t="s">
        <v>903</v>
      </c>
      <c r="Q157" s="17" t="s">
        <v>703</v>
      </c>
      <c r="R157" s="17" t="s">
        <v>99</v>
      </c>
      <c r="S157" s="17" t="s">
        <v>342</v>
      </c>
      <c r="T157" s="19">
        <v>45889.36111111111</v>
      </c>
      <c r="U157" s="17" t="s">
        <v>342</v>
      </c>
      <c r="V157" s="19">
        <v>45889.36111111111</v>
      </c>
    </row>
    <row r="158" spans="1:22">
      <c r="A158" s="17" t="s">
        <v>130</v>
      </c>
      <c r="B158" s="17" t="s">
        <v>142</v>
      </c>
      <c r="C158" s="17" t="s">
        <v>898</v>
      </c>
      <c r="D158" s="17" t="s">
        <v>119</v>
      </c>
      <c r="E158" s="18">
        <v>204</v>
      </c>
      <c r="F158" s="17" t="s">
        <v>139</v>
      </c>
      <c r="G158" s="18">
        <v>0</v>
      </c>
      <c r="H158" s="18">
        <v>1377</v>
      </c>
      <c r="I158" s="17" t="s">
        <v>904</v>
      </c>
      <c r="J158" s="17" t="s">
        <v>62</v>
      </c>
      <c r="K158" s="17" t="s">
        <v>484</v>
      </c>
      <c r="L158" s="17" t="s">
        <v>104</v>
      </c>
      <c r="M158" s="17" t="s">
        <v>4</v>
      </c>
      <c r="N158" s="19">
        <v>45888.79861111111</v>
      </c>
      <c r="O158" s="17" t="s">
        <v>132</v>
      </c>
      <c r="P158" s="17" t="s">
        <v>905</v>
      </c>
      <c r="Q158" s="17" t="s">
        <v>906</v>
      </c>
      <c r="R158" s="17" t="s">
        <v>99</v>
      </c>
      <c r="S158" s="17" t="s">
        <v>342</v>
      </c>
      <c r="T158" s="19">
        <v>45889.35763888889</v>
      </c>
      <c r="U158" s="17" t="s">
        <v>342</v>
      </c>
      <c r="V158" s="19">
        <v>45889.35763888889</v>
      </c>
    </row>
    <row r="159" spans="1:22">
      <c r="A159" s="17" t="s">
        <v>129</v>
      </c>
      <c r="B159" s="17" t="s">
        <v>143</v>
      </c>
      <c r="C159" s="17" t="s">
        <v>898</v>
      </c>
      <c r="D159" s="17" t="s">
        <v>119</v>
      </c>
      <c r="E159" s="18">
        <v>204</v>
      </c>
      <c r="F159" s="17" t="s">
        <v>139</v>
      </c>
      <c r="G159" s="18">
        <v>0</v>
      </c>
      <c r="H159" s="18">
        <v>1374</v>
      </c>
      <c r="I159" s="17" t="s">
        <v>907</v>
      </c>
      <c r="J159" s="17" t="s">
        <v>29</v>
      </c>
      <c r="K159" s="17" t="s">
        <v>662</v>
      </c>
      <c r="L159" s="17" t="s">
        <v>104</v>
      </c>
      <c r="M159" s="17" t="s">
        <v>11</v>
      </c>
      <c r="N159" s="19">
        <v>45888.4375</v>
      </c>
      <c r="O159" s="17" t="s">
        <v>133</v>
      </c>
      <c r="P159" s="17" t="s">
        <v>908</v>
      </c>
      <c r="Q159" s="17" t="s">
        <v>909</v>
      </c>
      <c r="R159" s="17" t="s">
        <v>99</v>
      </c>
      <c r="S159" s="17" t="s">
        <v>342</v>
      </c>
      <c r="T159" s="19">
        <v>45888.67916666667</v>
      </c>
      <c r="U159" s="17" t="s">
        <v>342</v>
      </c>
      <c r="V159" s="19">
        <v>45888.67916666667</v>
      </c>
    </row>
    <row r="160" spans="1:22">
      <c r="A160" s="17" t="s">
        <v>130</v>
      </c>
      <c r="B160" s="17" t="s">
        <v>144</v>
      </c>
      <c r="C160" s="17" t="s">
        <v>910</v>
      </c>
      <c r="D160" s="17" t="s">
        <v>119</v>
      </c>
      <c r="E160" s="18">
        <v>205</v>
      </c>
      <c r="F160" s="17" t="s">
        <v>139</v>
      </c>
      <c r="G160" s="18">
        <v>0</v>
      </c>
      <c r="H160" s="18">
        <v>1369</v>
      </c>
      <c r="I160" s="17" t="s">
        <v>911</v>
      </c>
      <c r="J160" s="17" t="s">
        <v>65</v>
      </c>
      <c r="K160" s="17" t="s">
        <v>335</v>
      </c>
      <c r="L160" s="17" t="s">
        <v>104</v>
      </c>
      <c r="M160" s="17" t="s">
        <v>22</v>
      </c>
      <c r="N160" s="19">
        <v>45887.54166666666</v>
      </c>
      <c r="O160" s="17" t="s">
        <v>133</v>
      </c>
      <c r="P160" s="17" t="s">
        <v>912</v>
      </c>
      <c r="Q160" s="17" t="s">
        <v>913</v>
      </c>
      <c r="R160" s="17" t="s">
        <v>99</v>
      </c>
      <c r="S160" s="17" t="s">
        <v>315</v>
      </c>
      <c r="T160" s="19">
        <v>45887.80347222222</v>
      </c>
      <c r="U160" s="17" t="s">
        <v>315</v>
      </c>
      <c r="V160" s="19">
        <v>45887.80347222222</v>
      </c>
    </row>
    <row r="161" spans="1:22">
      <c r="A161" s="17" t="s">
        <v>130</v>
      </c>
      <c r="B161" s="17" t="s">
        <v>142</v>
      </c>
      <c r="C161" s="17" t="s">
        <v>910</v>
      </c>
      <c r="D161" s="17" t="s">
        <v>119</v>
      </c>
      <c r="E161" s="18">
        <v>205</v>
      </c>
      <c r="F161" s="17" t="s">
        <v>139</v>
      </c>
      <c r="G161" s="18">
        <v>0</v>
      </c>
      <c r="H161" s="18">
        <v>1363</v>
      </c>
      <c r="I161" s="17" t="s">
        <v>914</v>
      </c>
      <c r="J161" s="17" t="s">
        <v>52</v>
      </c>
      <c r="K161" s="17" t="s">
        <v>553</v>
      </c>
      <c r="L161" s="17" t="s">
        <v>106</v>
      </c>
      <c r="M161" s="17" t="s">
        <v>5</v>
      </c>
      <c r="N161" s="19">
        <v>45887.4375</v>
      </c>
      <c r="O161" s="17" t="s">
        <v>133</v>
      </c>
      <c r="P161" s="17" t="s">
        <v>915</v>
      </c>
      <c r="Q161" s="17" t="s">
        <v>916</v>
      </c>
      <c r="R161" s="17" t="s">
        <v>99</v>
      </c>
      <c r="S161" s="17" t="s">
        <v>342</v>
      </c>
      <c r="T161" s="19">
        <v>45887.50763888889</v>
      </c>
      <c r="U161" s="17" t="s">
        <v>342</v>
      </c>
      <c r="V161" s="19">
        <v>45887.50763888889</v>
      </c>
    </row>
    <row r="162" spans="1:22">
      <c r="A162" s="17" t="s">
        <v>129</v>
      </c>
      <c r="B162" s="17" t="s">
        <v>143</v>
      </c>
      <c r="C162" s="17" t="s">
        <v>917</v>
      </c>
      <c r="D162" s="17" t="s">
        <v>119</v>
      </c>
      <c r="E162" s="18">
        <v>209</v>
      </c>
      <c r="F162" s="17" t="s">
        <v>139</v>
      </c>
      <c r="G162" s="18">
        <v>0</v>
      </c>
      <c r="H162" s="18">
        <v>1349</v>
      </c>
      <c r="I162" s="17" t="s">
        <v>918</v>
      </c>
      <c r="J162" s="17" t="s">
        <v>55</v>
      </c>
      <c r="K162" s="17" t="s">
        <v>330</v>
      </c>
      <c r="L162" s="17" t="s">
        <v>107</v>
      </c>
      <c r="M162" s="17" t="s">
        <v>14</v>
      </c>
      <c r="N162" s="19">
        <v>45883.39583333334</v>
      </c>
      <c r="O162" s="17" t="s">
        <v>133</v>
      </c>
      <c r="P162" s="17" t="s">
        <v>919</v>
      </c>
      <c r="Q162" s="17" t="s">
        <v>920</v>
      </c>
      <c r="R162" s="17" t="s">
        <v>99</v>
      </c>
      <c r="S162" s="17" t="s">
        <v>315</v>
      </c>
      <c r="T162" s="19">
        <v>45883.44027777778</v>
      </c>
      <c r="U162" s="17" t="s">
        <v>315</v>
      </c>
      <c r="V162" s="19">
        <v>45883.44027777778</v>
      </c>
    </row>
    <row r="163" spans="1:22">
      <c r="A163" s="17" t="s">
        <v>129</v>
      </c>
      <c r="B163" s="17" t="s">
        <v>141</v>
      </c>
      <c r="C163" s="17" t="s">
        <v>921</v>
      </c>
      <c r="D163" s="17" t="s">
        <v>119</v>
      </c>
      <c r="E163" s="18">
        <v>211</v>
      </c>
      <c r="F163" s="17" t="s">
        <v>139</v>
      </c>
      <c r="G163" s="18">
        <v>0</v>
      </c>
      <c r="H163" s="18">
        <v>1341</v>
      </c>
      <c r="I163" s="17" t="s">
        <v>922</v>
      </c>
      <c r="J163" s="17" t="s">
        <v>62</v>
      </c>
      <c r="K163" s="17" t="s">
        <v>352</v>
      </c>
      <c r="L163" s="17" t="s">
        <v>104</v>
      </c>
      <c r="M163" s="17" t="s">
        <v>8</v>
      </c>
      <c r="N163" s="19">
        <v>45881.45833333334</v>
      </c>
      <c r="O163" s="17" t="s">
        <v>133</v>
      </c>
      <c r="P163" s="17" t="s">
        <v>923</v>
      </c>
      <c r="Q163" s="17" t="s">
        <v>924</v>
      </c>
      <c r="R163" s="17" t="s">
        <v>99</v>
      </c>
      <c r="S163" s="17" t="s">
        <v>315</v>
      </c>
      <c r="T163" s="19">
        <v>45881.55138888889</v>
      </c>
      <c r="U163" s="17" t="s">
        <v>315</v>
      </c>
      <c r="V163" s="19">
        <v>45881.55138888889</v>
      </c>
    </row>
    <row r="164" spans="1:22">
      <c r="A164" s="17" t="s">
        <v>129</v>
      </c>
      <c r="B164" s="17" t="s">
        <v>141</v>
      </c>
      <c r="C164" s="17" t="s">
        <v>921</v>
      </c>
      <c r="D164" s="17" t="s">
        <v>119</v>
      </c>
      <c r="E164" s="18">
        <v>211</v>
      </c>
      <c r="F164" s="17" t="s">
        <v>139</v>
      </c>
      <c r="G164" s="18">
        <v>0</v>
      </c>
      <c r="H164" s="18">
        <v>1340</v>
      </c>
      <c r="I164" s="17" t="s">
        <v>925</v>
      </c>
      <c r="J164" s="17" t="s">
        <v>46</v>
      </c>
      <c r="K164" s="17" t="s">
        <v>233</v>
      </c>
      <c r="L164" s="17" t="s">
        <v>104</v>
      </c>
      <c r="M164" s="17" t="s">
        <v>20</v>
      </c>
      <c r="N164" s="19">
        <v>45881.41666666666</v>
      </c>
      <c r="O164" s="17" t="s">
        <v>133</v>
      </c>
      <c r="P164" s="17" t="s">
        <v>926</v>
      </c>
      <c r="Q164" s="17" t="s">
        <v>927</v>
      </c>
      <c r="R164" s="17" t="s">
        <v>99</v>
      </c>
      <c r="S164" s="17" t="s">
        <v>315</v>
      </c>
      <c r="T164" s="19">
        <v>45881.51875</v>
      </c>
      <c r="U164" s="17" t="s">
        <v>315</v>
      </c>
      <c r="V164" s="19">
        <v>45881.51875</v>
      </c>
    </row>
    <row r="165" spans="1:22">
      <c r="A165" s="17" t="s">
        <v>129</v>
      </c>
      <c r="B165" s="17" t="s">
        <v>141</v>
      </c>
      <c r="C165" s="17" t="s">
        <v>921</v>
      </c>
      <c r="D165" s="17" t="s">
        <v>119</v>
      </c>
      <c r="E165" s="18">
        <v>211</v>
      </c>
      <c r="F165" s="17" t="s">
        <v>139</v>
      </c>
      <c r="G165" s="18">
        <v>0</v>
      </c>
      <c r="H165" s="18">
        <v>1338</v>
      </c>
      <c r="I165" s="17" t="s">
        <v>928</v>
      </c>
      <c r="J165" s="17" t="s">
        <v>70</v>
      </c>
      <c r="K165" s="17" t="s">
        <v>439</v>
      </c>
      <c r="L165" s="17" t="s">
        <v>104</v>
      </c>
      <c r="M165" s="17" t="s">
        <v>18</v>
      </c>
      <c r="N165" s="19">
        <v>45881</v>
      </c>
      <c r="O165" s="17" t="s">
        <v>133</v>
      </c>
      <c r="P165" s="17" t="s">
        <v>929</v>
      </c>
      <c r="Q165" s="17" t="s">
        <v>930</v>
      </c>
      <c r="R165" s="17" t="s">
        <v>99</v>
      </c>
      <c r="S165" s="17" t="s">
        <v>315</v>
      </c>
      <c r="T165" s="19">
        <v>45881.45277777778</v>
      </c>
      <c r="U165" s="17" t="s">
        <v>315</v>
      </c>
      <c r="V165" s="19">
        <v>45881.45277777778</v>
      </c>
    </row>
    <row r="166" spans="1:22">
      <c r="A166" s="17" t="s">
        <v>129</v>
      </c>
      <c r="B166" s="17" t="s">
        <v>145</v>
      </c>
      <c r="C166" s="17" t="s">
        <v>931</v>
      </c>
      <c r="D166" s="17" t="s">
        <v>119</v>
      </c>
      <c r="E166" s="18">
        <v>212</v>
      </c>
      <c r="F166" s="17" t="s">
        <v>139</v>
      </c>
      <c r="G166" s="18">
        <v>0</v>
      </c>
      <c r="H166" s="18">
        <v>1334</v>
      </c>
      <c r="I166" s="17" t="s">
        <v>932</v>
      </c>
      <c r="J166" s="17" t="s">
        <v>60</v>
      </c>
      <c r="K166" s="17" t="s">
        <v>312</v>
      </c>
      <c r="L166" s="17" t="s">
        <v>104</v>
      </c>
      <c r="M166" s="17" t="s">
        <v>11</v>
      </c>
      <c r="N166" s="19">
        <v>45880.625</v>
      </c>
      <c r="O166" s="17" t="s">
        <v>132</v>
      </c>
      <c r="P166" s="17" t="s">
        <v>933</v>
      </c>
      <c r="Q166" s="17" t="s">
        <v>934</v>
      </c>
      <c r="R166" s="17" t="s">
        <v>99</v>
      </c>
      <c r="S166" s="17" t="s">
        <v>342</v>
      </c>
      <c r="T166" s="19">
        <v>45880.66736111111</v>
      </c>
      <c r="U166" s="17" t="s">
        <v>342</v>
      </c>
      <c r="V166" s="19">
        <v>45880.68819444445</v>
      </c>
    </row>
    <row r="167" spans="1:22">
      <c r="A167" s="17" t="s">
        <v>129</v>
      </c>
      <c r="B167" s="17" t="s">
        <v>141</v>
      </c>
      <c r="C167" s="17" t="s">
        <v>935</v>
      </c>
      <c r="D167" s="17" t="s">
        <v>119</v>
      </c>
      <c r="E167" s="18">
        <v>215</v>
      </c>
      <c r="F167" s="17" t="s">
        <v>139</v>
      </c>
      <c r="G167" s="18">
        <v>0</v>
      </c>
      <c r="H167" s="18">
        <v>1322</v>
      </c>
      <c r="I167" s="17" t="s">
        <v>936</v>
      </c>
      <c r="J167" s="17" t="s">
        <v>74</v>
      </c>
      <c r="K167" s="17" t="s">
        <v>439</v>
      </c>
      <c r="L167" s="17" t="s">
        <v>107</v>
      </c>
      <c r="M167" s="17" t="s">
        <v>14</v>
      </c>
      <c r="N167" s="19">
        <v>45877.70833333334</v>
      </c>
      <c r="O167" s="17" t="s">
        <v>133</v>
      </c>
      <c r="P167" s="17" t="s">
        <v>937</v>
      </c>
      <c r="Q167" s="17" t="s">
        <v>938</v>
      </c>
      <c r="R167" s="17" t="s">
        <v>99</v>
      </c>
      <c r="S167" s="17" t="s">
        <v>315</v>
      </c>
      <c r="T167" s="19">
        <v>45877.74930555555</v>
      </c>
      <c r="U167" s="17" t="s">
        <v>315</v>
      </c>
      <c r="V167" s="19">
        <v>45877.74930555555</v>
      </c>
    </row>
    <row r="168" spans="1:22">
      <c r="A168" s="17" t="s">
        <v>130</v>
      </c>
      <c r="B168" s="17" t="s">
        <v>142</v>
      </c>
      <c r="C168" s="17" t="s">
        <v>939</v>
      </c>
      <c r="D168" s="17" t="s">
        <v>119</v>
      </c>
      <c r="E168" s="18">
        <v>216</v>
      </c>
      <c r="F168" s="17" t="s">
        <v>139</v>
      </c>
      <c r="G168" s="18">
        <v>0</v>
      </c>
      <c r="H168" s="18">
        <v>1309</v>
      </c>
      <c r="I168" s="17" t="s">
        <v>940</v>
      </c>
      <c r="J168" s="17" t="s">
        <v>40</v>
      </c>
      <c r="K168" s="17" t="s">
        <v>500</v>
      </c>
      <c r="L168" s="17" t="s">
        <v>104</v>
      </c>
      <c r="M168" s="17" t="s">
        <v>8</v>
      </c>
      <c r="N168" s="19">
        <v>45876.66666666666</v>
      </c>
      <c r="O168" s="17" t="s">
        <v>132</v>
      </c>
      <c r="P168" s="17" t="s">
        <v>941</v>
      </c>
      <c r="Q168" s="17" t="s">
        <v>942</v>
      </c>
      <c r="R168" s="17" t="s">
        <v>99</v>
      </c>
      <c r="S168" s="17" t="s">
        <v>315</v>
      </c>
      <c r="T168" s="19">
        <v>45876.74375</v>
      </c>
      <c r="U168" s="17" t="s">
        <v>315</v>
      </c>
      <c r="V168" s="19">
        <v>45876.74375</v>
      </c>
    </row>
    <row r="169" spans="1:22">
      <c r="A169" s="17" t="s">
        <v>130</v>
      </c>
      <c r="B169" s="17" t="s">
        <v>142</v>
      </c>
      <c r="C169" s="17" t="s">
        <v>939</v>
      </c>
      <c r="D169" s="17" t="s">
        <v>119</v>
      </c>
      <c r="E169" s="18">
        <v>216</v>
      </c>
      <c r="F169" s="17" t="s">
        <v>139</v>
      </c>
      <c r="G169" s="18">
        <v>0</v>
      </c>
      <c r="H169" s="18">
        <v>1307</v>
      </c>
      <c r="I169" s="17" t="s">
        <v>943</v>
      </c>
      <c r="J169" s="17" t="s">
        <v>73</v>
      </c>
      <c r="K169" s="17" t="s">
        <v>365</v>
      </c>
      <c r="L169" s="17" t="s">
        <v>104</v>
      </c>
      <c r="M169" s="17" t="s">
        <v>22</v>
      </c>
      <c r="N169" s="19">
        <v>45876.70138888889</v>
      </c>
      <c r="O169" s="17" t="s">
        <v>133</v>
      </c>
      <c r="P169" s="17" t="s">
        <v>944</v>
      </c>
      <c r="Q169" s="17" t="s">
        <v>945</v>
      </c>
      <c r="R169" s="17" t="s">
        <v>99</v>
      </c>
      <c r="S169" s="17" t="s">
        <v>315</v>
      </c>
      <c r="T169" s="19">
        <v>45876.73541666667</v>
      </c>
      <c r="U169" s="17" t="s">
        <v>315</v>
      </c>
      <c r="V169" s="19">
        <v>45876.73541666667</v>
      </c>
    </row>
    <row r="170" spans="1:22">
      <c r="A170" s="17" t="s">
        <v>130</v>
      </c>
      <c r="B170" s="17" t="s">
        <v>142</v>
      </c>
      <c r="C170" s="17" t="s">
        <v>946</v>
      </c>
      <c r="D170" s="17" t="s">
        <v>119</v>
      </c>
      <c r="E170" s="18">
        <v>217</v>
      </c>
      <c r="F170" s="17" t="s">
        <v>139</v>
      </c>
      <c r="G170" s="18">
        <v>0</v>
      </c>
      <c r="H170" s="18">
        <v>1305</v>
      </c>
      <c r="I170" s="17" t="s">
        <v>947</v>
      </c>
      <c r="J170" s="17" t="s">
        <v>62</v>
      </c>
      <c r="K170" s="17" t="s">
        <v>484</v>
      </c>
      <c r="L170" s="17" t="s">
        <v>104</v>
      </c>
      <c r="M170" s="17" t="s">
        <v>20</v>
      </c>
      <c r="N170" s="19">
        <v>45875.77083333334</v>
      </c>
      <c r="O170" s="17" t="s">
        <v>133</v>
      </c>
      <c r="P170" s="17" t="s">
        <v>948</v>
      </c>
      <c r="Q170" s="17" t="s">
        <v>949</v>
      </c>
      <c r="R170" s="17" t="s">
        <v>99</v>
      </c>
      <c r="S170" s="17" t="s">
        <v>315</v>
      </c>
      <c r="T170" s="19">
        <v>45876.38472222222</v>
      </c>
      <c r="U170" s="17" t="s">
        <v>315</v>
      </c>
      <c r="V170" s="19">
        <v>45876.38472222222</v>
      </c>
    </row>
    <row r="171" spans="1:22">
      <c r="A171" s="17" t="s">
        <v>129</v>
      </c>
      <c r="B171" s="17" t="s">
        <v>141</v>
      </c>
      <c r="C171" s="17" t="s">
        <v>946</v>
      </c>
      <c r="D171" s="17" t="s">
        <v>119</v>
      </c>
      <c r="E171" s="18">
        <v>217</v>
      </c>
      <c r="F171" s="17" t="s">
        <v>139</v>
      </c>
      <c r="G171" s="18">
        <v>0</v>
      </c>
      <c r="H171" s="18">
        <v>1303</v>
      </c>
      <c r="I171" s="17" t="s">
        <v>950</v>
      </c>
      <c r="J171" s="17" t="s">
        <v>62</v>
      </c>
      <c r="K171" s="17" t="s">
        <v>352</v>
      </c>
      <c r="L171" s="17" t="s">
        <v>104</v>
      </c>
      <c r="M171" s="17" t="s">
        <v>22</v>
      </c>
      <c r="N171" s="19">
        <v>45875.70833333334</v>
      </c>
      <c r="O171" s="17" t="s">
        <v>133</v>
      </c>
      <c r="P171" s="17" t="s">
        <v>951</v>
      </c>
      <c r="Q171" s="17" t="s">
        <v>952</v>
      </c>
      <c r="R171" s="17" t="s">
        <v>99</v>
      </c>
      <c r="S171" s="17" t="s">
        <v>315</v>
      </c>
      <c r="T171" s="19">
        <v>45875.73055555556</v>
      </c>
      <c r="U171" s="17" t="s">
        <v>315</v>
      </c>
      <c r="V171" s="19">
        <v>45875.73055555556</v>
      </c>
    </row>
    <row r="172" spans="1:22">
      <c r="A172" s="17" t="s">
        <v>130</v>
      </c>
      <c r="B172" s="17" t="s">
        <v>142</v>
      </c>
      <c r="C172" s="17" t="s">
        <v>946</v>
      </c>
      <c r="D172" s="17" t="s">
        <v>119</v>
      </c>
      <c r="E172" s="18">
        <v>217</v>
      </c>
      <c r="F172" s="17" t="s">
        <v>139</v>
      </c>
      <c r="G172" s="18">
        <v>0</v>
      </c>
      <c r="H172" s="18">
        <v>1302</v>
      </c>
      <c r="I172" s="17" t="s">
        <v>953</v>
      </c>
      <c r="J172" s="17" t="s">
        <v>58</v>
      </c>
      <c r="K172" s="17" t="s">
        <v>553</v>
      </c>
      <c r="L172" s="17" t="s">
        <v>106</v>
      </c>
      <c r="M172" s="17" t="s">
        <v>7</v>
      </c>
      <c r="N172" s="19">
        <v>45875.66666666666</v>
      </c>
      <c r="O172" s="17" t="s">
        <v>133</v>
      </c>
      <c r="P172" s="17" t="s">
        <v>954</v>
      </c>
      <c r="Q172" s="17" t="s">
        <v>955</v>
      </c>
      <c r="R172" s="17" t="s">
        <v>99</v>
      </c>
      <c r="S172" s="17" t="s">
        <v>315</v>
      </c>
      <c r="T172" s="19">
        <v>45875.71944444445</v>
      </c>
      <c r="U172" s="17" t="s">
        <v>315</v>
      </c>
      <c r="V172" s="19">
        <v>45875.71944444445</v>
      </c>
    </row>
    <row r="173" spans="1:22">
      <c r="A173" s="17" t="s">
        <v>129</v>
      </c>
      <c r="B173" s="17" t="s">
        <v>141</v>
      </c>
      <c r="C173" s="17" t="s">
        <v>946</v>
      </c>
      <c r="D173" s="17" t="s">
        <v>119</v>
      </c>
      <c r="E173" s="18">
        <v>217</v>
      </c>
      <c r="F173" s="17" t="s">
        <v>139</v>
      </c>
      <c r="G173" s="18">
        <v>0</v>
      </c>
      <c r="H173" s="18">
        <v>1301</v>
      </c>
      <c r="I173" s="17" t="s">
        <v>956</v>
      </c>
      <c r="J173" s="17" t="s">
        <v>46</v>
      </c>
      <c r="K173" s="17" t="s">
        <v>233</v>
      </c>
      <c r="L173" s="17" t="s">
        <v>104</v>
      </c>
      <c r="M173" s="17" t="s">
        <v>20</v>
      </c>
      <c r="N173" s="19">
        <v>45875.54166666666</v>
      </c>
      <c r="O173" s="17" t="s">
        <v>133</v>
      </c>
      <c r="P173" s="17" t="s">
        <v>957</v>
      </c>
      <c r="Q173" s="17" t="s">
        <v>958</v>
      </c>
      <c r="R173" s="17" t="s">
        <v>99</v>
      </c>
      <c r="S173" s="17" t="s">
        <v>315</v>
      </c>
      <c r="T173" s="19">
        <v>45875.70208333333</v>
      </c>
      <c r="U173" s="17" t="s">
        <v>315</v>
      </c>
      <c r="V173" s="19">
        <v>45880.59027777778</v>
      </c>
    </row>
    <row r="174" spans="1:22">
      <c r="A174" s="17" t="s">
        <v>129</v>
      </c>
      <c r="B174" s="17" t="s">
        <v>141</v>
      </c>
      <c r="C174" s="17" t="s">
        <v>946</v>
      </c>
      <c r="D174" s="17" t="s">
        <v>119</v>
      </c>
      <c r="E174" s="18">
        <v>217</v>
      </c>
      <c r="F174" s="17" t="s">
        <v>139</v>
      </c>
      <c r="G174" s="18">
        <v>0</v>
      </c>
      <c r="H174" s="18">
        <v>1299</v>
      </c>
      <c r="I174" s="17" t="s">
        <v>959</v>
      </c>
      <c r="J174" s="17" t="s">
        <v>57</v>
      </c>
      <c r="K174" s="17" t="s">
        <v>352</v>
      </c>
      <c r="L174" s="17" t="s">
        <v>107</v>
      </c>
      <c r="M174" s="17" t="s">
        <v>14</v>
      </c>
      <c r="N174" s="19">
        <v>45875.52777777778</v>
      </c>
      <c r="O174" s="17" t="s">
        <v>133</v>
      </c>
      <c r="P174" s="17" t="s">
        <v>960</v>
      </c>
      <c r="Q174" s="17" t="s">
        <v>961</v>
      </c>
      <c r="R174" s="17" t="s">
        <v>99</v>
      </c>
      <c r="S174" s="17" t="s">
        <v>315</v>
      </c>
      <c r="T174" s="19">
        <v>45875.56527777778</v>
      </c>
      <c r="U174" s="17" t="s">
        <v>315</v>
      </c>
      <c r="V174" s="19">
        <v>45875.56527777778</v>
      </c>
    </row>
    <row r="175" spans="1:22">
      <c r="A175" s="17" t="s">
        <v>129</v>
      </c>
      <c r="B175" s="17" t="s">
        <v>141</v>
      </c>
      <c r="C175" s="17" t="s">
        <v>946</v>
      </c>
      <c r="D175" s="17" t="s">
        <v>119</v>
      </c>
      <c r="E175" s="18">
        <v>217</v>
      </c>
      <c r="F175" s="17" t="s">
        <v>139</v>
      </c>
      <c r="G175" s="18">
        <v>0</v>
      </c>
      <c r="H175" s="18">
        <v>1298</v>
      </c>
      <c r="I175" s="17" t="s">
        <v>962</v>
      </c>
      <c r="J175" s="17" t="s">
        <v>62</v>
      </c>
      <c r="K175" s="17" t="s">
        <v>395</v>
      </c>
      <c r="L175" s="17" t="s">
        <v>105</v>
      </c>
      <c r="M175" s="17" t="s">
        <v>23</v>
      </c>
      <c r="N175" s="19">
        <v>45875.45833333334</v>
      </c>
      <c r="O175" s="17" t="s">
        <v>133</v>
      </c>
      <c r="P175" s="17" t="s">
        <v>963</v>
      </c>
      <c r="Q175" s="17" t="s">
        <v>964</v>
      </c>
      <c r="R175" s="17" t="s">
        <v>99</v>
      </c>
      <c r="S175" s="17" t="s">
        <v>315</v>
      </c>
      <c r="T175" s="19">
        <v>45875.48472222222</v>
      </c>
      <c r="U175" s="17" t="s">
        <v>315</v>
      </c>
      <c r="V175" s="19">
        <v>45875.48472222222</v>
      </c>
    </row>
    <row r="176" spans="1:22">
      <c r="A176" s="17" t="s">
        <v>129</v>
      </c>
      <c r="B176" s="17" t="s">
        <v>141</v>
      </c>
      <c r="C176" s="17" t="s">
        <v>946</v>
      </c>
      <c r="D176" s="17" t="s">
        <v>119</v>
      </c>
      <c r="E176" s="18">
        <v>217</v>
      </c>
      <c r="F176" s="17" t="s">
        <v>139</v>
      </c>
      <c r="G176" s="18">
        <v>0</v>
      </c>
      <c r="H176" s="18">
        <v>1297</v>
      </c>
      <c r="I176" s="17" t="s">
        <v>965</v>
      </c>
      <c r="J176" s="17" t="s">
        <v>62</v>
      </c>
      <c r="K176" s="17" t="s">
        <v>352</v>
      </c>
      <c r="L176" s="17" t="s">
        <v>106</v>
      </c>
      <c r="M176" s="17" t="s">
        <v>13</v>
      </c>
      <c r="N176" s="19">
        <v>45875.45833333334</v>
      </c>
      <c r="O176" s="17" t="s">
        <v>132</v>
      </c>
      <c r="P176" s="17" t="s">
        <v>966</v>
      </c>
      <c r="Q176" s="17" t="s">
        <v>967</v>
      </c>
      <c r="R176" s="17" t="s">
        <v>99</v>
      </c>
      <c r="S176" s="17" t="s">
        <v>315</v>
      </c>
      <c r="T176" s="19">
        <v>45875.47986111111</v>
      </c>
      <c r="U176" s="17" t="s">
        <v>315</v>
      </c>
      <c r="V176" s="19">
        <v>45875.47986111111</v>
      </c>
    </row>
    <row r="177" spans="1:22">
      <c r="A177" s="17" t="s">
        <v>129</v>
      </c>
      <c r="B177" s="17" t="s">
        <v>148</v>
      </c>
      <c r="C177" s="17" t="s">
        <v>968</v>
      </c>
      <c r="D177" s="17" t="s">
        <v>119</v>
      </c>
      <c r="E177" s="18">
        <v>218</v>
      </c>
      <c r="F177" s="17" t="s">
        <v>139</v>
      </c>
      <c r="G177" s="18">
        <v>0</v>
      </c>
      <c r="H177" s="18">
        <v>1290</v>
      </c>
      <c r="I177" s="17" t="s">
        <v>969</v>
      </c>
      <c r="J177" s="17" t="s">
        <v>44</v>
      </c>
      <c r="K177" s="17" t="s">
        <v>768</v>
      </c>
      <c r="L177" s="17" t="s">
        <v>104</v>
      </c>
      <c r="M177" s="17" t="s">
        <v>4</v>
      </c>
      <c r="N177" s="19">
        <v>45874.44444444445</v>
      </c>
      <c r="O177" s="17" t="s">
        <v>133</v>
      </c>
      <c r="P177" s="17" t="s">
        <v>970</v>
      </c>
      <c r="Q177" s="17" t="s">
        <v>971</v>
      </c>
      <c r="R177" s="17" t="s">
        <v>99</v>
      </c>
      <c r="S177" s="17" t="s">
        <v>342</v>
      </c>
      <c r="T177" s="19">
        <v>45874.47013888889</v>
      </c>
      <c r="U177" s="17" t="s">
        <v>342</v>
      </c>
      <c r="V177" s="19">
        <v>45874.57916666667</v>
      </c>
    </row>
    <row r="178" spans="1:22">
      <c r="A178" s="17" t="s">
        <v>130</v>
      </c>
      <c r="B178" s="17" t="s">
        <v>142</v>
      </c>
      <c r="C178" s="17" t="s">
        <v>968</v>
      </c>
      <c r="D178" s="17" t="s">
        <v>119</v>
      </c>
      <c r="E178" s="18">
        <v>218</v>
      </c>
      <c r="F178" s="17" t="s">
        <v>139</v>
      </c>
      <c r="G178" s="18">
        <v>0</v>
      </c>
      <c r="H178" s="18">
        <v>1289</v>
      </c>
      <c r="I178" s="17" t="s">
        <v>972</v>
      </c>
      <c r="J178" s="17" t="s">
        <v>40</v>
      </c>
      <c r="K178" s="17" t="s">
        <v>466</v>
      </c>
      <c r="L178" s="17" t="s">
        <v>105</v>
      </c>
      <c r="M178" s="17" t="s">
        <v>24</v>
      </c>
      <c r="N178" s="19">
        <v>45874.41666666666</v>
      </c>
      <c r="O178" s="17" t="s">
        <v>133</v>
      </c>
      <c r="P178" s="17" t="s">
        <v>973</v>
      </c>
      <c r="Q178" s="17" t="s">
        <v>974</v>
      </c>
      <c r="R178" s="17" t="s">
        <v>99</v>
      </c>
      <c r="S178" s="17" t="s">
        <v>315</v>
      </c>
      <c r="T178" s="19">
        <v>45874.46666666667</v>
      </c>
      <c r="U178" s="17" t="s">
        <v>315</v>
      </c>
      <c r="V178" s="19">
        <v>45874.46666666667</v>
      </c>
    </row>
    <row r="179" spans="1:22">
      <c r="A179" s="17" t="s">
        <v>130</v>
      </c>
      <c r="B179" s="17" t="s">
        <v>142</v>
      </c>
      <c r="C179" s="17" t="s">
        <v>975</v>
      </c>
      <c r="D179" s="17" t="s">
        <v>119</v>
      </c>
      <c r="E179" s="18">
        <v>219</v>
      </c>
      <c r="F179" s="17" t="s">
        <v>139</v>
      </c>
      <c r="G179" s="18">
        <v>0</v>
      </c>
      <c r="H179" s="18">
        <v>1286</v>
      </c>
      <c r="I179" s="17" t="s">
        <v>976</v>
      </c>
      <c r="J179" s="17" t="s">
        <v>32</v>
      </c>
      <c r="K179" s="17" t="s">
        <v>484</v>
      </c>
      <c r="L179" s="17" t="s">
        <v>105</v>
      </c>
      <c r="M179" s="17" t="s">
        <v>6</v>
      </c>
      <c r="N179" s="19">
        <v>45873.70833333334</v>
      </c>
      <c r="O179" s="17" t="s">
        <v>132</v>
      </c>
      <c r="P179" s="17" t="s">
        <v>977</v>
      </c>
      <c r="Q179" s="17" t="s">
        <v>978</v>
      </c>
      <c r="R179" s="17" t="s">
        <v>99</v>
      </c>
      <c r="S179" s="17" t="s">
        <v>342</v>
      </c>
      <c r="T179" s="19">
        <v>45874.37638888889</v>
      </c>
      <c r="U179" s="17" t="s">
        <v>342</v>
      </c>
      <c r="V179" s="19">
        <v>45874.37638888889</v>
      </c>
    </row>
    <row r="180" spans="1:22">
      <c r="A180" s="17" t="s">
        <v>130</v>
      </c>
      <c r="B180" s="17" t="s">
        <v>142</v>
      </c>
      <c r="C180" s="17" t="s">
        <v>975</v>
      </c>
      <c r="D180" s="17" t="s">
        <v>119</v>
      </c>
      <c r="E180" s="18">
        <v>219</v>
      </c>
      <c r="F180" s="17" t="s">
        <v>139</v>
      </c>
      <c r="G180" s="18">
        <v>0</v>
      </c>
      <c r="H180" s="18">
        <v>1284</v>
      </c>
      <c r="I180" s="17" t="s">
        <v>979</v>
      </c>
      <c r="J180" s="17" t="s">
        <v>62</v>
      </c>
      <c r="K180" s="17" t="s">
        <v>586</v>
      </c>
      <c r="L180" s="17" t="s">
        <v>104</v>
      </c>
      <c r="M180" s="17" t="s">
        <v>22</v>
      </c>
      <c r="N180" s="19">
        <v>45873.66666666666</v>
      </c>
      <c r="O180" s="17" t="s">
        <v>133</v>
      </c>
      <c r="P180" s="17" t="s">
        <v>980</v>
      </c>
      <c r="Q180" s="17" t="s">
        <v>981</v>
      </c>
      <c r="R180" s="17" t="s">
        <v>99</v>
      </c>
      <c r="S180" s="17" t="s">
        <v>315</v>
      </c>
      <c r="T180" s="19">
        <v>45873.7</v>
      </c>
      <c r="U180" s="17" t="s">
        <v>315</v>
      </c>
      <c r="V180" s="19">
        <v>45873.7</v>
      </c>
    </row>
    <row r="181" spans="1:22">
      <c r="A181" s="17" t="s">
        <v>130</v>
      </c>
      <c r="B181" s="17" t="s">
        <v>142</v>
      </c>
      <c r="C181" s="17" t="s">
        <v>975</v>
      </c>
      <c r="D181" s="17" t="s">
        <v>119</v>
      </c>
      <c r="E181" s="18">
        <v>219</v>
      </c>
      <c r="F181" s="17" t="s">
        <v>139</v>
      </c>
      <c r="G181" s="18">
        <v>0</v>
      </c>
      <c r="H181" s="18">
        <v>1281</v>
      </c>
      <c r="I181" s="17" t="s">
        <v>982</v>
      </c>
      <c r="J181" s="17" t="s">
        <v>31</v>
      </c>
      <c r="K181" s="17" t="s">
        <v>553</v>
      </c>
      <c r="L181" s="17" t="s">
        <v>104</v>
      </c>
      <c r="M181" s="17" t="s">
        <v>20</v>
      </c>
      <c r="N181" s="19">
        <v>45873.45833333334</v>
      </c>
      <c r="O181" s="17" t="s">
        <v>133</v>
      </c>
      <c r="P181" s="17" t="s">
        <v>983</v>
      </c>
      <c r="Q181" s="17" t="s">
        <v>984</v>
      </c>
      <c r="R181" s="17" t="s">
        <v>99</v>
      </c>
      <c r="S181" s="17" t="s">
        <v>315</v>
      </c>
      <c r="T181" s="19">
        <v>45873.50069444445</v>
      </c>
      <c r="U181" s="17" t="s">
        <v>315</v>
      </c>
      <c r="V181" s="19">
        <v>45873.50069444445</v>
      </c>
    </row>
    <row r="182" spans="1:22">
      <c r="A182" s="17" t="s">
        <v>130</v>
      </c>
      <c r="B182" s="17" t="s">
        <v>142</v>
      </c>
      <c r="C182" s="17" t="s">
        <v>985</v>
      </c>
      <c r="D182" s="17" t="s">
        <v>119</v>
      </c>
      <c r="E182" s="18">
        <v>220</v>
      </c>
      <c r="F182" s="17" t="s">
        <v>139</v>
      </c>
      <c r="G182" s="18">
        <v>0</v>
      </c>
      <c r="H182" s="18">
        <v>1277</v>
      </c>
      <c r="I182" s="17" t="s">
        <v>986</v>
      </c>
      <c r="J182" s="17" t="s">
        <v>71</v>
      </c>
      <c r="K182" s="17" t="s">
        <v>586</v>
      </c>
      <c r="L182" s="17" t="s">
        <v>104</v>
      </c>
      <c r="M182" s="17" t="s">
        <v>20</v>
      </c>
      <c r="N182" s="19">
        <v>45872.51388888889</v>
      </c>
      <c r="O182" s="17" t="s">
        <v>133</v>
      </c>
      <c r="P182" s="17" t="s">
        <v>987</v>
      </c>
      <c r="Q182" s="17" t="s">
        <v>988</v>
      </c>
      <c r="R182" s="17" t="s">
        <v>99</v>
      </c>
      <c r="S182" s="17" t="s">
        <v>342</v>
      </c>
      <c r="T182" s="19">
        <v>45873.34375</v>
      </c>
      <c r="U182" s="17" t="s">
        <v>342</v>
      </c>
      <c r="V182" s="19">
        <v>45873.34375</v>
      </c>
    </row>
    <row r="183" spans="1:22">
      <c r="A183" s="17" t="s">
        <v>129</v>
      </c>
      <c r="B183" s="17" t="s">
        <v>145</v>
      </c>
      <c r="C183" s="17" t="s">
        <v>989</v>
      </c>
      <c r="D183" s="17" t="s">
        <v>119</v>
      </c>
      <c r="E183" s="18">
        <v>221</v>
      </c>
      <c r="F183" s="17" t="s">
        <v>139</v>
      </c>
      <c r="G183" s="18">
        <v>0</v>
      </c>
      <c r="H183" s="18">
        <v>1273</v>
      </c>
      <c r="I183" s="17" t="s">
        <v>990</v>
      </c>
      <c r="J183" s="17" t="s">
        <v>62</v>
      </c>
      <c r="K183" s="17" t="s">
        <v>312</v>
      </c>
      <c r="L183" s="17" t="s">
        <v>105</v>
      </c>
      <c r="M183" s="17" t="s">
        <v>25</v>
      </c>
      <c r="N183" s="19">
        <v>45871.68055555555</v>
      </c>
      <c r="O183" s="17" t="s">
        <v>133</v>
      </c>
      <c r="P183" s="17" t="s">
        <v>991</v>
      </c>
      <c r="Q183" s="17" t="s">
        <v>992</v>
      </c>
      <c r="R183" s="17" t="s">
        <v>99</v>
      </c>
      <c r="S183" s="17" t="s">
        <v>342</v>
      </c>
      <c r="T183" s="19">
        <v>45871.88472222222</v>
      </c>
      <c r="U183" s="17" t="s">
        <v>342</v>
      </c>
      <c r="V183" s="19">
        <v>45871.88472222222</v>
      </c>
    </row>
    <row r="184" spans="1:22">
      <c r="A184" s="17" t="s">
        <v>130</v>
      </c>
      <c r="B184" s="17" t="s">
        <v>142</v>
      </c>
      <c r="C184" s="17" t="s">
        <v>993</v>
      </c>
      <c r="D184" s="17" t="s">
        <v>118</v>
      </c>
      <c r="E184" s="18">
        <v>224</v>
      </c>
      <c r="F184" s="17" t="s">
        <v>139</v>
      </c>
      <c r="G184" s="18">
        <v>0</v>
      </c>
      <c r="H184" s="18">
        <v>1262</v>
      </c>
      <c r="I184" s="17" t="s">
        <v>994</v>
      </c>
      <c r="J184" s="17" t="s">
        <v>62</v>
      </c>
      <c r="K184" s="17" t="s">
        <v>321</v>
      </c>
      <c r="L184" s="17" t="s">
        <v>104</v>
      </c>
      <c r="M184" s="17"/>
      <c r="N184" s="19">
        <v>45868.75</v>
      </c>
      <c r="O184" s="17" t="s">
        <v>133</v>
      </c>
      <c r="P184" s="17" t="s">
        <v>995</v>
      </c>
      <c r="Q184" s="17" t="s">
        <v>996</v>
      </c>
      <c r="R184" s="17" t="s">
        <v>99</v>
      </c>
      <c r="S184" s="17" t="s">
        <v>997</v>
      </c>
      <c r="T184" s="19">
        <v>45868.77569444444</v>
      </c>
      <c r="U184" s="17" t="s">
        <v>997</v>
      </c>
      <c r="V184" s="19">
        <v>45868.77569444444</v>
      </c>
    </row>
    <row r="185" spans="1:22">
      <c r="A185" s="17" t="s">
        <v>129</v>
      </c>
      <c r="B185" s="17" t="s">
        <v>147</v>
      </c>
      <c r="C185" s="17" t="s">
        <v>993</v>
      </c>
      <c r="D185" s="17" t="s">
        <v>118</v>
      </c>
      <c r="E185" s="18">
        <v>224</v>
      </c>
      <c r="F185" s="17" t="s">
        <v>139</v>
      </c>
      <c r="G185" s="18">
        <v>0</v>
      </c>
      <c r="H185" s="18">
        <v>1260</v>
      </c>
      <c r="I185" s="17" t="s">
        <v>998</v>
      </c>
      <c r="J185" s="17" t="s">
        <v>62</v>
      </c>
      <c r="K185" s="17" t="s">
        <v>697</v>
      </c>
      <c r="L185" s="17" t="s">
        <v>107</v>
      </c>
      <c r="M185" s="17" t="s">
        <v>14</v>
      </c>
      <c r="N185" s="19">
        <v>45868.54166666666</v>
      </c>
      <c r="O185" s="17" t="s">
        <v>133</v>
      </c>
      <c r="P185" s="17" t="s">
        <v>999</v>
      </c>
      <c r="Q185" s="17" t="s">
        <v>1000</v>
      </c>
      <c r="R185" s="17" t="s">
        <v>99</v>
      </c>
      <c r="S185" s="17" t="s">
        <v>315</v>
      </c>
      <c r="T185" s="19">
        <v>45868.61180555556</v>
      </c>
      <c r="U185" s="17" t="s">
        <v>315</v>
      </c>
      <c r="V185" s="19">
        <v>45868.61180555556</v>
      </c>
    </row>
    <row r="186" spans="1:22">
      <c r="A186" s="17" t="s">
        <v>129</v>
      </c>
      <c r="B186" s="17" t="s">
        <v>148</v>
      </c>
      <c r="C186" s="17" t="s">
        <v>1001</v>
      </c>
      <c r="D186" s="17" t="s">
        <v>118</v>
      </c>
      <c r="E186" s="18">
        <v>227</v>
      </c>
      <c r="F186" s="17" t="s">
        <v>139</v>
      </c>
      <c r="G186" s="18">
        <v>0</v>
      </c>
      <c r="H186" s="18">
        <v>1247</v>
      </c>
      <c r="I186" s="17" t="s">
        <v>1002</v>
      </c>
      <c r="J186" s="17" t="s">
        <v>44</v>
      </c>
      <c r="K186" s="17" t="s">
        <v>462</v>
      </c>
      <c r="L186" s="17" t="s">
        <v>104</v>
      </c>
      <c r="M186" s="17" t="s">
        <v>8</v>
      </c>
      <c r="N186" s="19">
        <v>45865.08333333334</v>
      </c>
      <c r="O186" s="17" t="s">
        <v>132</v>
      </c>
      <c r="P186" s="17" t="s">
        <v>1003</v>
      </c>
      <c r="Q186" s="17" t="s">
        <v>1004</v>
      </c>
      <c r="R186" s="17" t="s">
        <v>99</v>
      </c>
      <c r="S186" s="17" t="s">
        <v>1005</v>
      </c>
      <c r="T186" s="19">
        <v>45868.45069444444</v>
      </c>
      <c r="U186" s="17" t="s">
        <v>1005</v>
      </c>
      <c r="V186" s="19">
        <v>45868.45069444444</v>
      </c>
    </row>
    <row r="187" spans="1:22">
      <c r="A187" s="17" t="s">
        <v>129</v>
      </c>
      <c r="B187" s="17" t="s">
        <v>143</v>
      </c>
      <c r="C187" s="17" t="s">
        <v>1006</v>
      </c>
      <c r="D187" s="17" t="s">
        <v>118</v>
      </c>
      <c r="E187" s="18">
        <v>225</v>
      </c>
      <c r="F187" s="17" t="s">
        <v>139</v>
      </c>
      <c r="G187" s="18">
        <v>0</v>
      </c>
      <c r="H187" s="18">
        <v>1246</v>
      </c>
      <c r="I187" s="17" t="s">
        <v>1007</v>
      </c>
      <c r="J187" s="17" t="s">
        <v>29</v>
      </c>
      <c r="K187" s="17" t="s">
        <v>662</v>
      </c>
      <c r="L187" s="17" t="s">
        <v>104</v>
      </c>
      <c r="M187" s="17" t="s">
        <v>4</v>
      </c>
      <c r="N187" s="19">
        <v>45867.88888888889</v>
      </c>
      <c r="O187" s="17" t="s">
        <v>133</v>
      </c>
      <c r="P187" s="17" t="s">
        <v>1008</v>
      </c>
      <c r="Q187" s="17" t="s">
        <v>1009</v>
      </c>
      <c r="R187" s="17" t="s">
        <v>99</v>
      </c>
      <c r="S187" s="17" t="s">
        <v>342</v>
      </c>
      <c r="T187" s="19">
        <v>45868.4125</v>
      </c>
      <c r="U187" s="17" t="s">
        <v>342</v>
      </c>
      <c r="V187" s="19">
        <v>45868.4125</v>
      </c>
    </row>
    <row r="188" spans="1:22">
      <c r="A188" s="17" t="s">
        <v>130</v>
      </c>
      <c r="B188" s="17" t="s">
        <v>142</v>
      </c>
      <c r="C188" s="17" t="s">
        <v>1006</v>
      </c>
      <c r="D188" s="17" t="s">
        <v>118</v>
      </c>
      <c r="E188" s="18">
        <v>225</v>
      </c>
      <c r="F188" s="17" t="s">
        <v>139</v>
      </c>
      <c r="G188" s="18">
        <v>0</v>
      </c>
      <c r="H188" s="18">
        <v>1245</v>
      </c>
      <c r="I188" s="17" t="s">
        <v>1010</v>
      </c>
      <c r="J188" s="17" t="s">
        <v>62</v>
      </c>
      <c r="K188" s="17" t="s">
        <v>553</v>
      </c>
      <c r="L188" s="17" t="s">
        <v>105</v>
      </c>
      <c r="M188" s="17" t="s">
        <v>1</v>
      </c>
      <c r="N188" s="19">
        <v>45867</v>
      </c>
      <c r="O188" s="17" t="s">
        <v>133</v>
      </c>
      <c r="P188" s="17" t="s">
        <v>1011</v>
      </c>
      <c r="Q188" s="17" t="s">
        <v>1012</v>
      </c>
      <c r="R188" s="17" t="s">
        <v>99</v>
      </c>
      <c r="S188" s="17" t="s">
        <v>1013</v>
      </c>
      <c r="T188" s="19">
        <v>45867.66180555556</v>
      </c>
      <c r="U188" s="17" t="s">
        <v>1013</v>
      </c>
      <c r="V188" s="19">
        <v>45867.66180555556</v>
      </c>
    </row>
    <row r="189" spans="1:22">
      <c r="A189" s="17" t="s">
        <v>129</v>
      </c>
      <c r="B189" s="17" t="s">
        <v>141</v>
      </c>
      <c r="C189" s="17" t="s">
        <v>1014</v>
      </c>
      <c r="D189" s="17" t="s">
        <v>118</v>
      </c>
      <c r="E189" s="18">
        <v>226</v>
      </c>
      <c r="F189" s="17" t="s">
        <v>139</v>
      </c>
      <c r="G189" s="18">
        <v>0</v>
      </c>
      <c r="H189" s="18">
        <v>1241</v>
      </c>
      <c r="I189" s="17" t="s">
        <v>1015</v>
      </c>
      <c r="J189" s="17" t="s">
        <v>66</v>
      </c>
      <c r="K189" s="17" t="s">
        <v>433</v>
      </c>
      <c r="L189" s="17" t="s">
        <v>104</v>
      </c>
      <c r="M189" s="17" t="s">
        <v>3</v>
      </c>
      <c r="N189" s="19">
        <v>45866.73611111111</v>
      </c>
      <c r="O189" s="17" t="s">
        <v>133</v>
      </c>
      <c r="P189" s="17" t="s">
        <v>1016</v>
      </c>
      <c r="Q189" s="17" t="s">
        <v>1017</v>
      </c>
      <c r="R189" s="17" t="s">
        <v>99</v>
      </c>
      <c r="S189" s="17" t="s">
        <v>1018</v>
      </c>
      <c r="T189" s="19">
        <v>45867.53333333333</v>
      </c>
      <c r="U189" s="17" t="s">
        <v>1018</v>
      </c>
      <c r="V189" s="19">
        <v>45867.67222222222</v>
      </c>
    </row>
    <row r="190" spans="1:22">
      <c r="A190" s="17" t="s">
        <v>130</v>
      </c>
      <c r="B190" s="17" t="s">
        <v>142</v>
      </c>
      <c r="C190" s="17" t="s">
        <v>1014</v>
      </c>
      <c r="D190" s="17" t="s">
        <v>118</v>
      </c>
      <c r="E190" s="18">
        <v>226</v>
      </c>
      <c r="F190" s="17" t="s">
        <v>139</v>
      </c>
      <c r="G190" s="18">
        <v>0</v>
      </c>
      <c r="H190" s="18">
        <v>1238</v>
      </c>
      <c r="I190" s="17" t="s">
        <v>1019</v>
      </c>
      <c r="J190" s="17" t="s">
        <v>64</v>
      </c>
      <c r="K190" s="17" t="s">
        <v>321</v>
      </c>
      <c r="L190" s="17" t="s">
        <v>108</v>
      </c>
      <c r="M190" s="17" t="s">
        <v>26</v>
      </c>
      <c r="N190" s="19">
        <v>45866.41666666666</v>
      </c>
      <c r="O190" s="17" t="s">
        <v>133</v>
      </c>
      <c r="P190" s="17" t="s">
        <v>1020</v>
      </c>
      <c r="Q190" s="17" t="s">
        <v>1021</v>
      </c>
      <c r="R190" s="17" t="s">
        <v>99</v>
      </c>
      <c r="S190" s="17" t="s">
        <v>997</v>
      </c>
      <c r="T190" s="19">
        <v>45866.70277777778</v>
      </c>
      <c r="U190" s="17" t="s">
        <v>997</v>
      </c>
      <c r="V190" s="19">
        <v>45866.70277777778</v>
      </c>
    </row>
    <row r="191" spans="1:22">
      <c r="A191" s="17" t="s">
        <v>130</v>
      </c>
      <c r="B191" s="17" t="s">
        <v>142</v>
      </c>
      <c r="C191" s="17" t="s">
        <v>1022</v>
      </c>
      <c r="D191" s="17" t="s">
        <v>118</v>
      </c>
      <c r="E191" s="18">
        <v>229</v>
      </c>
      <c r="F191" s="17" t="s">
        <v>139</v>
      </c>
      <c r="G191" s="18">
        <v>0</v>
      </c>
      <c r="H191" s="18">
        <v>1236</v>
      </c>
      <c r="I191" s="17" t="s">
        <v>1023</v>
      </c>
      <c r="J191" s="17" t="s">
        <v>32</v>
      </c>
      <c r="K191" s="17" t="s">
        <v>484</v>
      </c>
      <c r="L191" s="17" t="s">
        <v>107</v>
      </c>
      <c r="M191" s="17"/>
      <c r="N191" s="19">
        <v>45863.77083333334</v>
      </c>
      <c r="O191" s="17" t="s">
        <v>133</v>
      </c>
      <c r="P191" s="17" t="s">
        <v>1024</v>
      </c>
      <c r="Q191" s="17" t="s">
        <v>1025</v>
      </c>
      <c r="R191" s="17" t="s">
        <v>99</v>
      </c>
      <c r="S191" s="17" t="s">
        <v>1026</v>
      </c>
      <c r="T191" s="19">
        <v>45866.56666666667</v>
      </c>
      <c r="U191" s="17" t="s">
        <v>1026</v>
      </c>
      <c r="V191" s="19">
        <v>45866.56666666667</v>
      </c>
    </row>
    <row r="192" spans="1:22">
      <c r="A192" s="17" t="s">
        <v>129</v>
      </c>
      <c r="B192" s="17" t="s">
        <v>141</v>
      </c>
      <c r="C192" s="17" t="s">
        <v>1014</v>
      </c>
      <c r="D192" s="17" t="s">
        <v>118</v>
      </c>
      <c r="E192" s="18">
        <v>226</v>
      </c>
      <c r="F192" s="17" t="s">
        <v>139</v>
      </c>
      <c r="G192" s="18">
        <v>0</v>
      </c>
      <c r="H192" s="18">
        <v>1234</v>
      </c>
      <c r="I192" s="17" t="s">
        <v>1027</v>
      </c>
      <c r="J192" s="17" t="s">
        <v>62</v>
      </c>
      <c r="K192" s="17" t="s">
        <v>395</v>
      </c>
      <c r="L192" s="17" t="s">
        <v>107</v>
      </c>
      <c r="M192" s="17" t="s">
        <v>14</v>
      </c>
      <c r="N192" s="19">
        <v>45866.39583333334</v>
      </c>
      <c r="O192" s="17" t="s">
        <v>133</v>
      </c>
      <c r="P192" s="17" t="s">
        <v>1028</v>
      </c>
      <c r="Q192" s="17" t="s">
        <v>1029</v>
      </c>
      <c r="R192" s="17" t="s">
        <v>99</v>
      </c>
      <c r="S192" s="17" t="s">
        <v>1018</v>
      </c>
      <c r="T192" s="19">
        <v>45866.43263888889</v>
      </c>
      <c r="U192" s="17" t="s">
        <v>1018</v>
      </c>
      <c r="V192" s="19">
        <v>45866.43263888889</v>
      </c>
    </row>
    <row r="193" spans="1:22">
      <c r="A193" s="17" t="s">
        <v>130</v>
      </c>
      <c r="B193" s="17" t="s">
        <v>142</v>
      </c>
      <c r="C193" s="17" t="s">
        <v>1014</v>
      </c>
      <c r="D193" s="17" t="s">
        <v>118</v>
      </c>
      <c r="E193" s="18">
        <v>226</v>
      </c>
      <c r="F193" s="17" t="s">
        <v>139</v>
      </c>
      <c r="G193" s="18">
        <v>0</v>
      </c>
      <c r="H193" s="18">
        <v>1232</v>
      </c>
      <c r="I193" s="17" t="s">
        <v>1030</v>
      </c>
      <c r="J193" s="17" t="s">
        <v>62</v>
      </c>
      <c r="K193" s="17" t="s">
        <v>553</v>
      </c>
      <c r="L193" s="17" t="s">
        <v>104</v>
      </c>
      <c r="M193" s="17"/>
      <c r="N193" s="19">
        <v>45866.375</v>
      </c>
      <c r="O193" s="17" t="s">
        <v>133</v>
      </c>
      <c r="P193" s="17" t="s">
        <v>1031</v>
      </c>
      <c r="Q193" s="17" t="s">
        <v>1032</v>
      </c>
      <c r="R193" s="17" t="s">
        <v>99</v>
      </c>
      <c r="S193" s="17" t="s">
        <v>1026</v>
      </c>
      <c r="T193" s="19">
        <v>45866.38402777778</v>
      </c>
      <c r="U193" s="17" t="s">
        <v>1026</v>
      </c>
      <c r="V193" s="19">
        <v>45866.38402777778</v>
      </c>
    </row>
    <row r="194" spans="1:22">
      <c r="A194" s="17" t="s">
        <v>130</v>
      </c>
      <c r="B194" s="17" t="s">
        <v>142</v>
      </c>
      <c r="C194" s="17" t="s">
        <v>1001</v>
      </c>
      <c r="D194" s="17" t="s">
        <v>118</v>
      </c>
      <c r="E194" s="18">
        <v>227</v>
      </c>
      <c r="F194" s="17" t="s">
        <v>139</v>
      </c>
      <c r="G194" s="18">
        <v>0</v>
      </c>
      <c r="H194" s="18">
        <v>1230</v>
      </c>
      <c r="I194" s="17" t="s">
        <v>1033</v>
      </c>
      <c r="J194" s="17" t="s">
        <v>52</v>
      </c>
      <c r="K194" s="17" t="s">
        <v>553</v>
      </c>
      <c r="L194" s="17" t="s">
        <v>104</v>
      </c>
      <c r="M194" s="17"/>
      <c r="N194" s="19">
        <v>45865</v>
      </c>
      <c r="O194" s="17" t="s">
        <v>133</v>
      </c>
      <c r="P194" s="17" t="s">
        <v>1034</v>
      </c>
      <c r="Q194" s="17" t="s">
        <v>1035</v>
      </c>
      <c r="R194" s="17" t="s">
        <v>99</v>
      </c>
      <c r="S194" s="17" t="s">
        <v>1026</v>
      </c>
      <c r="T194" s="19">
        <v>45865.44791666666</v>
      </c>
      <c r="U194" s="17" t="s">
        <v>1026</v>
      </c>
      <c r="V194" s="19">
        <v>45865.44791666666</v>
      </c>
    </row>
    <row r="195" spans="1:22">
      <c r="A195" s="17" t="s">
        <v>129</v>
      </c>
      <c r="B195" s="17" t="s">
        <v>141</v>
      </c>
      <c r="C195" s="17" t="s">
        <v>1036</v>
      </c>
      <c r="D195" s="17" t="s">
        <v>118</v>
      </c>
      <c r="E195" s="18">
        <v>232</v>
      </c>
      <c r="F195" s="17" t="s">
        <v>139</v>
      </c>
      <c r="G195" s="18">
        <v>0</v>
      </c>
      <c r="H195" s="18">
        <v>1206</v>
      </c>
      <c r="I195" s="17" t="s">
        <v>1037</v>
      </c>
      <c r="J195" s="17" t="s">
        <v>59</v>
      </c>
      <c r="K195" s="17" t="s">
        <v>240</v>
      </c>
      <c r="L195" s="17" t="s">
        <v>104</v>
      </c>
      <c r="M195" s="17" t="s">
        <v>20</v>
      </c>
      <c r="N195" s="19">
        <v>45860.875</v>
      </c>
      <c r="O195" s="17" t="s">
        <v>133</v>
      </c>
      <c r="P195" s="17" t="s">
        <v>1038</v>
      </c>
      <c r="Q195" s="17" t="s">
        <v>1039</v>
      </c>
      <c r="R195" s="17" t="s">
        <v>99</v>
      </c>
      <c r="S195" s="17" t="s">
        <v>342</v>
      </c>
      <c r="T195" s="19">
        <v>45861.41111111111</v>
      </c>
      <c r="U195" s="17" t="s">
        <v>342</v>
      </c>
      <c r="V195" s="19">
        <v>45861.41111111111</v>
      </c>
    </row>
    <row r="196" spans="1:22">
      <c r="A196" s="17" t="s">
        <v>130</v>
      </c>
      <c r="B196" s="17" t="s">
        <v>142</v>
      </c>
      <c r="C196" s="17" t="s">
        <v>1040</v>
      </c>
      <c r="D196" s="17" t="s">
        <v>118</v>
      </c>
      <c r="E196" s="18">
        <v>233</v>
      </c>
      <c r="F196" s="17" t="s">
        <v>139</v>
      </c>
      <c r="G196" s="18">
        <v>0</v>
      </c>
      <c r="H196" s="18">
        <v>1197</v>
      </c>
      <c r="I196" s="17" t="s">
        <v>1041</v>
      </c>
      <c r="J196" s="17" t="s">
        <v>62</v>
      </c>
      <c r="K196" s="17" t="s">
        <v>484</v>
      </c>
      <c r="L196" s="17" t="s">
        <v>104</v>
      </c>
      <c r="M196" s="17" t="s">
        <v>22</v>
      </c>
      <c r="N196" s="19">
        <v>45859.85416666666</v>
      </c>
      <c r="O196" s="17" t="s">
        <v>133</v>
      </c>
      <c r="P196" s="17" t="s">
        <v>1042</v>
      </c>
      <c r="Q196" s="17" t="s">
        <v>1043</v>
      </c>
      <c r="R196" s="17" t="s">
        <v>99</v>
      </c>
      <c r="S196" s="17" t="s">
        <v>997</v>
      </c>
      <c r="T196" s="19">
        <v>45859.88263888889</v>
      </c>
      <c r="U196" s="17" t="s">
        <v>997</v>
      </c>
      <c r="V196" s="19">
        <v>45859.88263888889</v>
      </c>
    </row>
    <row r="197" spans="1:22">
      <c r="A197" s="17" t="s">
        <v>129</v>
      </c>
      <c r="B197" s="17" t="s">
        <v>148</v>
      </c>
      <c r="C197" s="17" t="s">
        <v>1044</v>
      </c>
      <c r="D197" s="17" t="s">
        <v>118</v>
      </c>
      <c r="E197" s="18">
        <v>236</v>
      </c>
      <c r="F197" s="17" t="s">
        <v>139</v>
      </c>
      <c r="G197" s="18">
        <v>0</v>
      </c>
      <c r="H197" s="18">
        <v>1181</v>
      </c>
      <c r="I197" s="17" t="s">
        <v>1045</v>
      </c>
      <c r="J197" s="17" t="s">
        <v>62</v>
      </c>
      <c r="K197" s="17" t="s">
        <v>462</v>
      </c>
      <c r="L197" s="17" t="s">
        <v>104</v>
      </c>
      <c r="M197" s="17" t="s">
        <v>22</v>
      </c>
      <c r="N197" s="19">
        <v>45856.68055555555</v>
      </c>
      <c r="O197" s="17" t="s">
        <v>133</v>
      </c>
      <c r="P197" s="17" t="s">
        <v>1046</v>
      </c>
      <c r="Q197" s="17" t="s">
        <v>1047</v>
      </c>
      <c r="R197" s="17" t="s">
        <v>99</v>
      </c>
      <c r="S197" s="17" t="s">
        <v>315</v>
      </c>
      <c r="T197" s="19">
        <v>45856.72777777778</v>
      </c>
      <c r="U197" s="17" t="s">
        <v>315</v>
      </c>
      <c r="V197" s="19">
        <v>45860.79722222222</v>
      </c>
    </row>
    <row r="198" spans="1:22">
      <c r="A198" s="17" t="s">
        <v>129</v>
      </c>
      <c r="B198" s="17" t="s">
        <v>147</v>
      </c>
      <c r="C198" s="17" t="s">
        <v>1048</v>
      </c>
      <c r="D198" s="17" t="s">
        <v>118</v>
      </c>
      <c r="E198" s="18">
        <v>237</v>
      </c>
      <c r="F198" s="17" t="s">
        <v>139</v>
      </c>
      <c r="G198" s="18">
        <v>0</v>
      </c>
      <c r="H198" s="18">
        <v>1170</v>
      </c>
      <c r="I198" s="17" t="s">
        <v>1049</v>
      </c>
      <c r="J198" s="17" t="s">
        <v>62</v>
      </c>
      <c r="K198" s="17" t="s">
        <v>530</v>
      </c>
      <c r="L198" s="17" t="s">
        <v>104</v>
      </c>
      <c r="M198" s="17" t="s">
        <v>20</v>
      </c>
      <c r="N198" s="19">
        <v>45855.375</v>
      </c>
      <c r="O198" s="17" t="s">
        <v>133</v>
      </c>
      <c r="P198" s="17" t="s">
        <v>1050</v>
      </c>
      <c r="Q198" s="17" t="s">
        <v>1039</v>
      </c>
      <c r="R198" s="17" t="s">
        <v>99</v>
      </c>
      <c r="S198" s="17" t="s">
        <v>315</v>
      </c>
      <c r="T198" s="19">
        <v>45855.46875</v>
      </c>
      <c r="U198" s="17" t="s">
        <v>315</v>
      </c>
      <c r="V198" s="19">
        <v>45855.46875</v>
      </c>
    </row>
    <row r="199" spans="1:22">
      <c r="A199" s="17" t="s">
        <v>130</v>
      </c>
      <c r="B199" s="17" t="s">
        <v>144</v>
      </c>
      <c r="C199" s="17" t="s">
        <v>1051</v>
      </c>
      <c r="D199" s="17" t="s">
        <v>118</v>
      </c>
      <c r="E199" s="18">
        <v>240</v>
      </c>
      <c r="F199" s="17" t="s">
        <v>139</v>
      </c>
      <c r="G199" s="18">
        <v>0</v>
      </c>
      <c r="H199" s="18">
        <v>1151</v>
      </c>
      <c r="I199" s="17" t="s">
        <v>1052</v>
      </c>
      <c r="J199" s="17" t="s">
        <v>65</v>
      </c>
      <c r="K199" s="17" t="s">
        <v>335</v>
      </c>
      <c r="L199" s="17" t="s">
        <v>104</v>
      </c>
      <c r="M199" s="17" t="s">
        <v>22</v>
      </c>
      <c r="N199" s="19">
        <v>45852.73611111111</v>
      </c>
      <c r="O199" s="17" t="s">
        <v>133</v>
      </c>
      <c r="P199" s="17" t="s">
        <v>1053</v>
      </c>
      <c r="Q199" s="17" t="s">
        <v>1054</v>
      </c>
      <c r="R199" s="17" t="s">
        <v>99</v>
      </c>
      <c r="S199" s="17" t="s">
        <v>1055</v>
      </c>
      <c r="T199" s="19">
        <v>45852.76527777778</v>
      </c>
      <c r="U199" s="17" t="s">
        <v>1055</v>
      </c>
      <c r="V199" s="19">
        <v>45852.76527777778</v>
      </c>
    </row>
    <row r="200" spans="1:22">
      <c r="A200" s="17" t="s">
        <v>129</v>
      </c>
      <c r="B200" s="17" t="s">
        <v>143</v>
      </c>
      <c r="C200" s="17" t="s">
        <v>1051</v>
      </c>
      <c r="D200" s="17" t="s">
        <v>118</v>
      </c>
      <c r="E200" s="18">
        <v>240</v>
      </c>
      <c r="F200" s="17" t="s">
        <v>139</v>
      </c>
      <c r="G200" s="18">
        <v>0</v>
      </c>
      <c r="H200" s="18">
        <v>1149</v>
      </c>
      <c r="I200" s="17" t="s">
        <v>1056</v>
      </c>
      <c r="J200" s="17" t="s">
        <v>62</v>
      </c>
      <c r="K200" s="17" t="s">
        <v>475</v>
      </c>
      <c r="L200" s="17" t="s">
        <v>107</v>
      </c>
      <c r="M200" s="17" t="s">
        <v>14</v>
      </c>
      <c r="N200" s="19">
        <v>45852.54166666666</v>
      </c>
      <c r="O200" s="17" t="s">
        <v>133</v>
      </c>
      <c r="P200" s="17" t="s">
        <v>1057</v>
      </c>
      <c r="Q200" s="17" t="s">
        <v>1058</v>
      </c>
      <c r="R200" s="17" t="s">
        <v>99</v>
      </c>
      <c r="S200" s="17" t="s">
        <v>1059</v>
      </c>
      <c r="T200" s="19">
        <v>45852.70833333334</v>
      </c>
      <c r="U200" s="17" t="s">
        <v>1059</v>
      </c>
      <c r="V200" s="19">
        <v>45852.70833333334</v>
      </c>
    </row>
    <row r="201" spans="1:22">
      <c r="A201" s="17" t="s">
        <v>130</v>
      </c>
      <c r="B201" s="17" t="s">
        <v>142</v>
      </c>
      <c r="C201" s="17" t="s">
        <v>1060</v>
      </c>
      <c r="D201" s="17" t="s">
        <v>118</v>
      </c>
      <c r="E201" s="18">
        <v>243</v>
      </c>
      <c r="F201" s="17" t="s">
        <v>139</v>
      </c>
      <c r="G201" s="18">
        <v>0</v>
      </c>
      <c r="H201" s="18">
        <v>1135</v>
      </c>
      <c r="I201" s="17" t="s">
        <v>1061</v>
      </c>
      <c r="J201" s="17" t="s">
        <v>64</v>
      </c>
      <c r="K201" s="17" t="s">
        <v>586</v>
      </c>
      <c r="L201" s="17" t="s">
        <v>104</v>
      </c>
      <c r="M201" s="17" t="s">
        <v>22</v>
      </c>
      <c r="N201" s="19">
        <v>45849.375</v>
      </c>
      <c r="O201" s="17" t="s">
        <v>133</v>
      </c>
      <c r="P201" s="17" t="s">
        <v>1062</v>
      </c>
      <c r="Q201" s="17" t="s">
        <v>1063</v>
      </c>
      <c r="R201" s="17" t="s">
        <v>99</v>
      </c>
      <c r="S201" s="17" t="s">
        <v>1026</v>
      </c>
      <c r="T201" s="19">
        <v>45849.40486111111</v>
      </c>
      <c r="U201" s="17" t="s">
        <v>1026</v>
      </c>
      <c r="V201" s="19">
        <v>45849.40486111111</v>
      </c>
    </row>
    <row r="202" spans="1:22">
      <c r="A202" s="17" t="s">
        <v>129</v>
      </c>
      <c r="B202" s="17" t="s">
        <v>141</v>
      </c>
      <c r="C202" s="17" t="s">
        <v>1064</v>
      </c>
      <c r="D202" s="17" t="s">
        <v>118</v>
      </c>
      <c r="E202" s="18">
        <v>249</v>
      </c>
      <c r="F202" s="17" t="s">
        <v>139</v>
      </c>
      <c r="G202" s="18">
        <v>0</v>
      </c>
      <c r="H202" s="18">
        <v>1109</v>
      </c>
      <c r="I202" s="17" t="s">
        <v>1065</v>
      </c>
      <c r="J202" s="17" t="s">
        <v>34</v>
      </c>
      <c r="K202" s="17" t="s">
        <v>352</v>
      </c>
      <c r="L202" s="17" t="s">
        <v>104</v>
      </c>
      <c r="M202" s="17" t="s">
        <v>3</v>
      </c>
      <c r="N202" s="19">
        <v>45843.70833333334</v>
      </c>
      <c r="O202" s="17" t="s">
        <v>133</v>
      </c>
      <c r="P202" s="17" t="s">
        <v>1066</v>
      </c>
      <c r="Q202" s="17" t="s">
        <v>1067</v>
      </c>
      <c r="R202" s="17" t="s">
        <v>99</v>
      </c>
      <c r="S202" s="17" t="s">
        <v>1068</v>
      </c>
      <c r="T202" s="19">
        <v>45843.75486111111</v>
      </c>
      <c r="U202" s="17" t="s">
        <v>1068</v>
      </c>
      <c r="V202" s="19">
        <v>45843.75486111111</v>
      </c>
    </row>
    <row r="203" spans="1:22">
      <c r="A203" s="17" t="s">
        <v>129</v>
      </c>
      <c r="B203" s="17" t="s">
        <v>141</v>
      </c>
      <c r="C203" s="17" t="s">
        <v>1069</v>
      </c>
      <c r="D203" s="17" t="s">
        <v>118</v>
      </c>
      <c r="E203" s="18">
        <v>251</v>
      </c>
      <c r="F203" s="17" t="s">
        <v>139</v>
      </c>
      <c r="G203" s="18">
        <v>0</v>
      </c>
      <c r="H203" s="18">
        <v>1098</v>
      </c>
      <c r="I203" s="17" t="s">
        <v>1070</v>
      </c>
      <c r="J203" s="17" t="s">
        <v>62</v>
      </c>
      <c r="K203" s="17" t="s">
        <v>352</v>
      </c>
      <c r="L203" s="17" t="s">
        <v>107</v>
      </c>
      <c r="M203" s="17" t="s">
        <v>14</v>
      </c>
      <c r="N203" s="19">
        <v>45841.45138888889</v>
      </c>
      <c r="O203" s="17" t="s">
        <v>132</v>
      </c>
      <c r="P203" s="17" t="s">
        <v>1071</v>
      </c>
      <c r="Q203" s="17" t="s">
        <v>1072</v>
      </c>
      <c r="R203" s="17" t="s">
        <v>99</v>
      </c>
      <c r="S203" s="17" t="s">
        <v>1068</v>
      </c>
      <c r="T203" s="19">
        <v>45841.4625</v>
      </c>
      <c r="U203" s="17" t="s">
        <v>1068</v>
      </c>
      <c r="V203" s="19">
        <v>45842.52083333334</v>
      </c>
    </row>
    <row r="204" spans="1:22">
      <c r="A204" s="17" t="s">
        <v>130</v>
      </c>
      <c r="B204" s="17" t="s">
        <v>142</v>
      </c>
      <c r="C204" s="17" t="s">
        <v>1073</v>
      </c>
      <c r="D204" s="17" t="s">
        <v>118</v>
      </c>
      <c r="E204" s="18">
        <v>252</v>
      </c>
      <c r="F204" s="17" t="s">
        <v>139</v>
      </c>
      <c r="G204" s="18">
        <v>0</v>
      </c>
      <c r="H204" s="18">
        <v>1095</v>
      </c>
      <c r="I204" s="17" t="s">
        <v>1074</v>
      </c>
      <c r="J204" s="17" t="s">
        <v>32</v>
      </c>
      <c r="K204" s="17" t="s">
        <v>484</v>
      </c>
      <c r="L204" s="17" t="s">
        <v>104</v>
      </c>
      <c r="M204" s="17"/>
      <c r="N204" s="19">
        <v>45840.75</v>
      </c>
      <c r="O204" s="17" t="s">
        <v>133</v>
      </c>
      <c r="P204" s="17" t="s">
        <v>1075</v>
      </c>
      <c r="Q204" s="17" t="s">
        <v>1076</v>
      </c>
      <c r="R204" s="17" t="s">
        <v>99</v>
      </c>
      <c r="S204" s="17" t="s">
        <v>1026</v>
      </c>
      <c r="T204" s="19">
        <v>45840.76527777778</v>
      </c>
      <c r="U204" s="17" t="s">
        <v>1026</v>
      </c>
      <c r="V204" s="19">
        <v>45840.76527777778</v>
      </c>
    </row>
    <row r="205" spans="1:22">
      <c r="A205" s="17" t="s">
        <v>130</v>
      </c>
      <c r="B205" s="17" t="s">
        <v>142</v>
      </c>
      <c r="C205" s="17" t="s">
        <v>1073</v>
      </c>
      <c r="D205" s="17" t="s">
        <v>118</v>
      </c>
      <c r="E205" s="18">
        <v>252</v>
      </c>
      <c r="F205" s="17" t="s">
        <v>139</v>
      </c>
      <c r="G205" s="18">
        <v>0</v>
      </c>
      <c r="H205" s="18">
        <v>1088</v>
      </c>
      <c r="I205" s="17" t="s">
        <v>1077</v>
      </c>
      <c r="J205" s="17" t="s">
        <v>40</v>
      </c>
      <c r="K205" s="17" t="s">
        <v>466</v>
      </c>
      <c r="L205" s="17" t="s">
        <v>104</v>
      </c>
      <c r="M205" s="17" t="s">
        <v>8</v>
      </c>
      <c r="N205" s="19">
        <v>45840.31944444445</v>
      </c>
      <c r="O205" s="17" t="s">
        <v>133</v>
      </c>
      <c r="P205" s="17" t="s">
        <v>1078</v>
      </c>
      <c r="Q205" s="17" t="s">
        <v>1079</v>
      </c>
      <c r="R205" s="17" t="s">
        <v>99</v>
      </c>
      <c r="S205" s="17" t="s">
        <v>1026</v>
      </c>
      <c r="T205" s="19">
        <v>45840.40902777778</v>
      </c>
      <c r="U205" s="17" t="s">
        <v>1026</v>
      </c>
      <c r="V205" s="19">
        <v>45840.40902777778</v>
      </c>
    </row>
    <row r="206" spans="1:22">
      <c r="A206" s="17" t="s">
        <v>129</v>
      </c>
      <c r="B206" s="17" t="s">
        <v>143</v>
      </c>
      <c r="C206" s="17" t="s">
        <v>1080</v>
      </c>
      <c r="D206" s="17" t="s">
        <v>117</v>
      </c>
      <c r="E206" s="18">
        <v>255</v>
      </c>
      <c r="F206" s="17" t="s">
        <v>139</v>
      </c>
      <c r="G206" s="18">
        <v>0</v>
      </c>
      <c r="H206" s="18">
        <v>1076</v>
      </c>
      <c r="I206" s="17" t="s">
        <v>1081</v>
      </c>
      <c r="J206" s="17" t="s">
        <v>62</v>
      </c>
      <c r="K206" s="17" t="s">
        <v>475</v>
      </c>
      <c r="L206" s="17" t="s">
        <v>106</v>
      </c>
      <c r="M206" s="17" t="s">
        <v>10</v>
      </c>
      <c r="N206" s="19">
        <v>45837.66666666666</v>
      </c>
      <c r="O206" s="17" t="s">
        <v>133</v>
      </c>
      <c r="P206" s="17" t="s">
        <v>1082</v>
      </c>
      <c r="Q206" s="17" t="s">
        <v>1083</v>
      </c>
      <c r="R206" s="17" t="s">
        <v>99</v>
      </c>
      <c r="S206" s="17" t="s">
        <v>342</v>
      </c>
      <c r="T206" s="19">
        <v>45838.55833333333</v>
      </c>
      <c r="U206" s="17" t="s">
        <v>342</v>
      </c>
      <c r="V206" s="19">
        <v>45838.55833333333</v>
      </c>
    </row>
    <row r="207" spans="1:22">
      <c r="A207" s="17" t="s">
        <v>130</v>
      </c>
      <c r="B207" s="17" t="s">
        <v>142</v>
      </c>
      <c r="C207" s="17" t="s">
        <v>1084</v>
      </c>
      <c r="D207" s="17" t="s">
        <v>117</v>
      </c>
      <c r="E207" s="18">
        <v>256</v>
      </c>
      <c r="F207" s="17" t="s">
        <v>139</v>
      </c>
      <c r="G207" s="18">
        <v>0</v>
      </c>
      <c r="H207" s="18">
        <v>1073</v>
      </c>
      <c r="I207" s="17" t="s">
        <v>1085</v>
      </c>
      <c r="J207" s="17" t="s">
        <v>61</v>
      </c>
      <c r="K207" s="17" t="s">
        <v>404</v>
      </c>
      <c r="L207" s="17" t="s">
        <v>104</v>
      </c>
      <c r="M207" s="17"/>
      <c r="N207" s="19">
        <v>45836.69444444445</v>
      </c>
      <c r="O207" s="17" t="s">
        <v>133</v>
      </c>
      <c r="P207" s="17" t="s">
        <v>1086</v>
      </c>
      <c r="Q207" s="17" t="s">
        <v>1087</v>
      </c>
      <c r="R207" s="17" t="s">
        <v>99</v>
      </c>
      <c r="S207" s="17" t="s">
        <v>1026</v>
      </c>
      <c r="T207" s="19">
        <v>45836.83680555555</v>
      </c>
      <c r="U207" s="17" t="s">
        <v>1026</v>
      </c>
      <c r="V207" s="19">
        <v>45836.83680555555</v>
      </c>
    </row>
    <row r="208" spans="1:22">
      <c r="A208" s="17" t="s">
        <v>130</v>
      </c>
      <c r="B208" s="17" t="s">
        <v>142</v>
      </c>
      <c r="C208" s="17" t="s">
        <v>1088</v>
      </c>
      <c r="D208" s="17" t="s">
        <v>117</v>
      </c>
      <c r="E208" s="18">
        <v>258</v>
      </c>
      <c r="F208" s="17" t="s">
        <v>139</v>
      </c>
      <c r="G208" s="18">
        <v>0</v>
      </c>
      <c r="H208" s="18">
        <v>1068</v>
      </c>
      <c r="I208" s="17" t="s">
        <v>1089</v>
      </c>
      <c r="J208" s="17" t="s">
        <v>62</v>
      </c>
      <c r="K208" s="17" t="s">
        <v>321</v>
      </c>
      <c r="L208" s="17" t="s">
        <v>107</v>
      </c>
      <c r="M208" s="17" t="s">
        <v>12</v>
      </c>
      <c r="N208" s="19">
        <v>45834.41666666666</v>
      </c>
      <c r="O208" s="17" t="s">
        <v>133</v>
      </c>
      <c r="P208" s="17" t="s">
        <v>1090</v>
      </c>
      <c r="Q208" s="17" t="s">
        <v>1091</v>
      </c>
      <c r="R208" s="17" t="s">
        <v>99</v>
      </c>
      <c r="S208" s="17" t="s">
        <v>997</v>
      </c>
      <c r="T208" s="19">
        <v>45835.75555555556</v>
      </c>
      <c r="U208" s="17" t="s">
        <v>997</v>
      </c>
      <c r="V208" s="19">
        <v>45838.76875</v>
      </c>
    </row>
    <row r="209" spans="1:22">
      <c r="A209" s="17" t="s">
        <v>129</v>
      </c>
      <c r="B209" s="17" t="s">
        <v>141</v>
      </c>
      <c r="C209" s="17" t="s">
        <v>1092</v>
      </c>
      <c r="D209" s="17" t="s">
        <v>117</v>
      </c>
      <c r="E209" s="18">
        <v>261</v>
      </c>
      <c r="F209" s="17" t="s">
        <v>139</v>
      </c>
      <c r="G209" s="18">
        <v>0</v>
      </c>
      <c r="H209" s="18">
        <v>1042</v>
      </c>
      <c r="I209" s="17" t="s">
        <v>1093</v>
      </c>
      <c r="J209" s="17" t="s">
        <v>62</v>
      </c>
      <c r="K209" s="17" t="s">
        <v>352</v>
      </c>
      <c r="L209" s="17" t="s">
        <v>104</v>
      </c>
      <c r="M209" s="17" t="s">
        <v>20</v>
      </c>
      <c r="N209" s="19">
        <v>45831</v>
      </c>
      <c r="O209" s="17" t="s">
        <v>132</v>
      </c>
      <c r="P209" s="17" t="s">
        <v>1094</v>
      </c>
      <c r="Q209" s="17" t="s">
        <v>1095</v>
      </c>
      <c r="R209" s="17" t="s">
        <v>99</v>
      </c>
      <c r="S209" s="17" t="s">
        <v>1096</v>
      </c>
      <c r="T209" s="19">
        <v>45832.59444444445</v>
      </c>
      <c r="U209" s="17" t="s">
        <v>1096</v>
      </c>
      <c r="V209" s="19">
        <v>45832.59444444445</v>
      </c>
    </row>
    <row r="210" spans="1:22">
      <c r="A210" s="17" t="s">
        <v>129</v>
      </c>
      <c r="B210" s="17" t="s">
        <v>141</v>
      </c>
      <c r="C210" s="17" t="s">
        <v>1092</v>
      </c>
      <c r="D210" s="17" t="s">
        <v>117</v>
      </c>
      <c r="E210" s="18">
        <v>261</v>
      </c>
      <c r="F210" s="17" t="s">
        <v>139</v>
      </c>
      <c r="G210" s="18">
        <v>0</v>
      </c>
      <c r="H210" s="18">
        <v>1041</v>
      </c>
      <c r="I210" s="17" t="s">
        <v>1097</v>
      </c>
      <c r="J210" s="17" t="s">
        <v>51</v>
      </c>
      <c r="K210" s="17" t="s">
        <v>352</v>
      </c>
      <c r="L210" s="17" t="s">
        <v>104</v>
      </c>
      <c r="M210" s="17" t="s">
        <v>20</v>
      </c>
      <c r="N210" s="19">
        <v>45831</v>
      </c>
      <c r="O210" s="17" t="s">
        <v>133</v>
      </c>
      <c r="P210" s="17" t="s">
        <v>1098</v>
      </c>
      <c r="Q210" s="17" t="s">
        <v>1099</v>
      </c>
      <c r="R210" s="17" t="s">
        <v>99</v>
      </c>
      <c r="S210" s="17" t="s">
        <v>1096</v>
      </c>
      <c r="T210" s="19">
        <v>45832.59027777778</v>
      </c>
      <c r="U210" s="17" t="s">
        <v>1096</v>
      </c>
      <c r="V210" s="19">
        <v>45832.59027777778</v>
      </c>
    </row>
    <row r="211" spans="1:22">
      <c r="A211" s="17" t="s">
        <v>130</v>
      </c>
      <c r="B211" s="17" t="s">
        <v>142</v>
      </c>
      <c r="C211" s="17" t="s">
        <v>1100</v>
      </c>
      <c r="D211" s="17" t="s">
        <v>117</v>
      </c>
      <c r="E211" s="18">
        <v>260</v>
      </c>
      <c r="F211" s="17" t="s">
        <v>139</v>
      </c>
      <c r="G211" s="18">
        <v>0</v>
      </c>
      <c r="H211" s="18">
        <v>1040</v>
      </c>
      <c r="I211" s="17" t="s">
        <v>1101</v>
      </c>
      <c r="J211" s="17" t="s">
        <v>73</v>
      </c>
      <c r="K211" s="17" t="s">
        <v>365</v>
      </c>
      <c r="L211" s="17" t="s">
        <v>104</v>
      </c>
      <c r="M211" s="17"/>
      <c r="N211" s="19">
        <v>45832.54166666666</v>
      </c>
      <c r="O211" s="17" t="s">
        <v>133</v>
      </c>
      <c r="P211" s="17" t="s">
        <v>1102</v>
      </c>
      <c r="Q211" s="17" t="s">
        <v>1103</v>
      </c>
      <c r="R211" s="17" t="s">
        <v>99</v>
      </c>
      <c r="S211" s="17" t="s">
        <v>1026</v>
      </c>
      <c r="T211" s="19">
        <v>45832.58055555556</v>
      </c>
      <c r="U211" s="17" t="s">
        <v>1026</v>
      </c>
      <c r="V211" s="19">
        <v>45832.58055555556</v>
      </c>
    </row>
    <row r="212" spans="1:22">
      <c r="A212" s="17" t="s">
        <v>129</v>
      </c>
      <c r="B212" s="17" t="s">
        <v>143</v>
      </c>
      <c r="C212" s="17" t="s">
        <v>1104</v>
      </c>
      <c r="D212" s="17" t="s">
        <v>117</v>
      </c>
      <c r="E212" s="18">
        <v>263</v>
      </c>
      <c r="F212" s="17" t="s">
        <v>139</v>
      </c>
      <c r="G212" s="18">
        <v>0</v>
      </c>
      <c r="H212" s="18">
        <v>1038</v>
      </c>
      <c r="I212" s="17" t="s">
        <v>1105</v>
      </c>
      <c r="J212" s="17" t="s">
        <v>62</v>
      </c>
      <c r="K212" s="17" t="s">
        <v>360</v>
      </c>
      <c r="L212" s="17" t="s">
        <v>105</v>
      </c>
      <c r="M212" s="17" t="s">
        <v>24</v>
      </c>
      <c r="N212" s="19">
        <v>45829.56944444445</v>
      </c>
      <c r="O212" s="17" t="s">
        <v>132</v>
      </c>
      <c r="P212" s="17" t="s">
        <v>1106</v>
      </c>
      <c r="Q212" s="17" t="s">
        <v>1107</v>
      </c>
      <c r="R212" s="17" t="s">
        <v>99</v>
      </c>
      <c r="S212" s="17" t="s">
        <v>1013</v>
      </c>
      <c r="T212" s="19">
        <v>45831.77013888889</v>
      </c>
      <c r="U212" s="17" t="s">
        <v>1013</v>
      </c>
      <c r="V212" s="19">
        <v>45832.57916666667</v>
      </c>
    </row>
    <row r="213" spans="1:22">
      <c r="A213" s="17" t="s">
        <v>129</v>
      </c>
      <c r="B213" s="17" t="s">
        <v>147</v>
      </c>
      <c r="C213" s="17" t="s">
        <v>1108</v>
      </c>
      <c r="D213" s="17" t="s">
        <v>117</v>
      </c>
      <c r="E213" s="18">
        <v>265</v>
      </c>
      <c r="F213" s="17" t="s">
        <v>139</v>
      </c>
      <c r="G213" s="18">
        <v>0</v>
      </c>
      <c r="H213" s="18">
        <v>1031</v>
      </c>
      <c r="I213" s="17" t="s">
        <v>1109</v>
      </c>
      <c r="J213" s="17" t="s">
        <v>50</v>
      </c>
      <c r="K213" s="17" t="s">
        <v>530</v>
      </c>
      <c r="L213" s="17" t="s">
        <v>107</v>
      </c>
      <c r="M213" s="17"/>
      <c r="N213" s="19">
        <v>45827</v>
      </c>
      <c r="O213" s="17" t="s">
        <v>132</v>
      </c>
      <c r="P213" s="17" t="s">
        <v>1110</v>
      </c>
      <c r="Q213" s="17" t="s">
        <v>1111</v>
      </c>
      <c r="R213" s="17" t="s">
        <v>99</v>
      </c>
      <c r="S213" s="17" t="s">
        <v>1096</v>
      </c>
      <c r="T213" s="19">
        <v>45828.43541666667</v>
      </c>
      <c r="U213" s="17" t="s">
        <v>1096</v>
      </c>
      <c r="V213" s="19">
        <v>45829.76805555556</v>
      </c>
    </row>
    <row r="214" spans="1:22">
      <c r="A214" s="17" t="s">
        <v>129</v>
      </c>
      <c r="B214" s="17" t="s">
        <v>141</v>
      </c>
      <c r="C214" s="17" t="s">
        <v>1112</v>
      </c>
      <c r="D214" s="17" t="s">
        <v>117</v>
      </c>
      <c r="E214" s="18">
        <v>267</v>
      </c>
      <c r="F214" s="17" t="s">
        <v>139</v>
      </c>
      <c r="G214" s="18">
        <v>1</v>
      </c>
      <c r="H214" s="18">
        <v>1019</v>
      </c>
      <c r="I214" s="17" t="s">
        <v>1113</v>
      </c>
      <c r="J214" s="17" t="s">
        <v>66</v>
      </c>
      <c r="K214" s="17" t="s">
        <v>433</v>
      </c>
      <c r="L214" s="17" t="s">
        <v>17</v>
      </c>
      <c r="M214" s="17" t="s">
        <v>15</v>
      </c>
      <c r="N214" s="19">
        <v>45825</v>
      </c>
      <c r="O214" s="17" t="s">
        <v>132</v>
      </c>
      <c r="P214" s="17" t="s">
        <v>1114</v>
      </c>
      <c r="Q214" s="17"/>
      <c r="R214" s="17" t="s">
        <v>98</v>
      </c>
      <c r="S214" s="17" t="s">
        <v>1096</v>
      </c>
      <c r="T214" s="19">
        <v>45825.76597222222</v>
      </c>
      <c r="U214" s="17" t="s">
        <v>1096</v>
      </c>
      <c r="V214" s="19">
        <v>45825.76597222222</v>
      </c>
    </row>
    <row r="215" spans="1:22">
      <c r="A215" s="17" t="s">
        <v>130</v>
      </c>
      <c r="B215" s="17" t="s">
        <v>142</v>
      </c>
      <c r="C215" s="17" t="s">
        <v>1115</v>
      </c>
      <c r="D215" s="17" t="s">
        <v>117</v>
      </c>
      <c r="E215" s="18">
        <v>271</v>
      </c>
      <c r="F215" s="17" t="s">
        <v>139</v>
      </c>
      <c r="G215" s="18">
        <v>0</v>
      </c>
      <c r="H215" s="18">
        <v>1004</v>
      </c>
      <c r="I215" s="17" t="s">
        <v>1116</v>
      </c>
      <c r="J215" s="17" t="s">
        <v>62</v>
      </c>
      <c r="K215" s="17" t="s">
        <v>553</v>
      </c>
      <c r="L215" s="17" t="s">
        <v>104</v>
      </c>
      <c r="M215" s="17" t="s">
        <v>8</v>
      </c>
      <c r="N215" s="19">
        <v>45821.36111111111</v>
      </c>
      <c r="O215" s="17" t="s">
        <v>133</v>
      </c>
      <c r="P215" s="17" t="s">
        <v>1117</v>
      </c>
      <c r="Q215" s="17" t="s">
        <v>1035</v>
      </c>
      <c r="R215" s="17" t="s">
        <v>99</v>
      </c>
      <c r="S215" s="17" t="s">
        <v>1026</v>
      </c>
      <c r="T215" s="19">
        <v>45821.41597222222</v>
      </c>
      <c r="U215" s="17" t="s">
        <v>1026</v>
      </c>
      <c r="V215" s="19">
        <v>45821.41597222222</v>
      </c>
    </row>
    <row r="216" spans="1:22">
      <c r="A216" s="17" t="s">
        <v>129</v>
      </c>
      <c r="B216" s="17" t="s">
        <v>146</v>
      </c>
      <c r="C216" s="17" t="s">
        <v>1118</v>
      </c>
      <c r="D216" s="17" t="s">
        <v>117</v>
      </c>
      <c r="E216" s="18">
        <v>274</v>
      </c>
      <c r="F216" s="17" t="s">
        <v>139</v>
      </c>
      <c r="G216" s="18">
        <v>0</v>
      </c>
      <c r="H216" s="18">
        <v>988</v>
      </c>
      <c r="I216" s="17" t="s">
        <v>1119</v>
      </c>
      <c r="J216" s="17" t="s">
        <v>68</v>
      </c>
      <c r="K216" s="17" t="s">
        <v>288</v>
      </c>
      <c r="L216" s="17" t="s">
        <v>104</v>
      </c>
      <c r="M216" s="17" t="s">
        <v>11</v>
      </c>
      <c r="N216" s="19">
        <v>45818.39583333334</v>
      </c>
      <c r="O216" s="17" t="s">
        <v>133</v>
      </c>
      <c r="P216" s="17" t="s">
        <v>1120</v>
      </c>
      <c r="Q216" s="17" t="s">
        <v>1121</v>
      </c>
      <c r="R216" s="17" t="s">
        <v>99</v>
      </c>
      <c r="S216" s="17" t="s">
        <v>1122</v>
      </c>
      <c r="T216" s="19">
        <v>45818.49027777778</v>
      </c>
      <c r="U216" s="17" t="s">
        <v>1122</v>
      </c>
      <c r="V216" s="19">
        <v>45818.72777777778</v>
      </c>
    </row>
    <row r="217" spans="1:22">
      <c r="A217" s="17" t="s">
        <v>129</v>
      </c>
      <c r="B217" s="17" t="s">
        <v>146</v>
      </c>
      <c r="C217" s="17" t="s">
        <v>1123</v>
      </c>
      <c r="D217" s="17" t="s">
        <v>117</v>
      </c>
      <c r="E217" s="18">
        <v>277</v>
      </c>
      <c r="F217" s="17" t="s">
        <v>139</v>
      </c>
      <c r="G217" s="18">
        <v>0</v>
      </c>
      <c r="H217" s="18">
        <v>984</v>
      </c>
      <c r="I217" s="17" t="s">
        <v>1124</v>
      </c>
      <c r="J217" s="17" t="s">
        <v>62</v>
      </c>
      <c r="K217" s="17" t="s">
        <v>1125</v>
      </c>
      <c r="L217" s="17" t="s">
        <v>104</v>
      </c>
      <c r="M217" s="17" t="s">
        <v>20</v>
      </c>
      <c r="N217" s="19">
        <v>45815.52083333334</v>
      </c>
      <c r="O217" s="17" t="s">
        <v>132</v>
      </c>
      <c r="P217" s="17" t="s">
        <v>1126</v>
      </c>
      <c r="Q217" s="17" t="s">
        <v>1127</v>
      </c>
      <c r="R217" s="17" t="s">
        <v>99</v>
      </c>
      <c r="S217" s="17" t="s">
        <v>1122</v>
      </c>
      <c r="T217" s="19">
        <v>45817.71944444445</v>
      </c>
      <c r="U217" s="17" t="s">
        <v>1122</v>
      </c>
      <c r="V217" s="19">
        <v>45817.72569444445</v>
      </c>
    </row>
    <row r="218" spans="1:22">
      <c r="A218" s="17" t="s">
        <v>130</v>
      </c>
      <c r="B218" s="17" t="s">
        <v>142</v>
      </c>
      <c r="C218" s="17" t="s">
        <v>1128</v>
      </c>
      <c r="D218" s="17" t="s">
        <v>116</v>
      </c>
      <c r="E218" s="18">
        <v>285</v>
      </c>
      <c r="F218" s="17" t="s">
        <v>139</v>
      </c>
      <c r="G218" s="18">
        <v>0</v>
      </c>
      <c r="H218" s="18">
        <v>952</v>
      </c>
      <c r="I218" s="17" t="s">
        <v>1129</v>
      </c>
      <c r="J218" s="17" t="s">
        <v>64</v>
      </c>
      <c r="K218" s="17" t="s">
        <v>586</v>
      </c>
      <c r="L218" s="17" t="s">
        <v>104</v>
      </c>
      <c r="M218" s="17" t="s">
        <v>20</v>
      </c>
      <c r="N218" s="19">
        <v>45807</v>
      </c>
      <c r="O218" s="17" t="s">
        <v>133</v>
      </c>
      <c r="P218" s="17" t="s">
        <v>1130</v>
      </c>
      <c r="Q218" s="17" t="s">
        <v>1131</v>
      </c>
      <c r="R218" s="17" t="s">
        <v>99</v>
      </c>
      <c r="S218" s="17" t="s">
        <v>1026</v>
      </c>
      <c r="T218" s="19">
        <v>45807.95277777778</v>
      </c>
      <c r="U218" s="17" t="s">
        <v>1026</v>
      </c>
      <c r="V218" s="19">
        <v>45807.95277777778</v>
      </c>
    </row>
    <row r="219" spans="1:22">
      <c r="A219" s="17" t="s">
        <v>130</v>
      </c>
      <c r="B219" s="17" t="s">
        <v>142</v>
      </c>
      <c r="C219" s="17" t="s">
        <v>1132</v>
      </c>
      <c r="D219" s="17" t="s">
        <v>116</v>
      </c>
      <c r="E219" s="18">
        <v>287</v>
      </c>
      <c r="F219" s="17" t="s">
        <v>139</v>
      </c>
      <c r="G219" s="18">
        <v>0</v>
      </c>
      <c r="H219" s="18">
        <v>944</v>
      </c>
      <c r="I219" s="17" t="s">
        <v>1133</v>
      </c>
      <c r="J219" s="17" t="s">
        <v>62</v>
      </c>
      <c r="K219" s="17" t="s">
        <v>586</v>
      </c>
      <c r="L219" s="17" t="s">
        <v>17</v>
      </c>
      <c r="M219" s="17"/>
      <c r="N219" s="19">
        <v>45805</v>
      </c>
      <c r="O219" s="17" t="s">
        <v>132</v>
      </c>
      <c r="P219" s="17" t="s">
        <v>1134</v>
      </c>
      <c r="Q219" s="17" t="s">
        <v>1135</v>
      </c>
      <c r="R219" s="17" t="s">
        <v>99</v>
      </c>
      <c r="S219" s="17" t="s">
        <v>997</v>
      </c>
      <c r="T219" s="19">
        <v>45805.82361111111</v>
      </c>
      <c r="U219" s="17" t="s">
        <v>997</v>
      </c>
      <c r="V219" s="19">
        <v>45805.82361111111</v>
      </c>
    </row>
    <row r="220" spans="1:22">
      <c r="A220" s="17" t="s">
        <v>130</v>
      </c>
      <c r="B220" s="17" t="s">
        <v>142</v>
      </c>
      <c r="C220" s="17" t="s">
        <v>1136</v>
      </c>
      <c r="D220" s="17" t="s">
        <v>116</v>
      </c>
      <c r="E220" s="18">
        <v>293</v>
      </c>
      <c r="F220" s="17" t="s">
        <v>139</v>
      </c>
      <c r="G220" s="18">
        <v>0</v>
      </c>
      <c r="H220" s="18">
        <v>911</v>
      </c>
      <c r="I220" s="17" t="s">
        <v>1137</v>
      </c>
      <c r="J220" s="17" t="s">
        <v>52</v>
      </c>
      <c r="K220" s="17" t="s">
        <v>553</v>
      </c>
      <c r="L220" s="17" t="s">
        <v>104</v>
      </c>
      <c r="M220" s="17"/>
      <c r="N220" s="19">
        <v>45799.77083333334</v>
      </c>
      <c r="O220" s="17" t="s">
        <v>133</v>
      </c>
      <c r="P220" s="17" t="s">
        <v>1138</v>
      </c>
      <c r="Q220" s="17" t="s">
        <v>1139</v>
      </c>
      <c r="R220" s="17" t="s">
        <v>99</v>
      </c>
      <c r="S220" s="17" t="s">
        <v>997</v>
      </c>
      <c r="T220" s="19">
        <v>45799.88472222222</v>
      </c>
      <c r="U220" s="17" t="s">
        <v>997</v>
      </c>
      <c r="V220" s="19">
        <v>45799.88472222222</v>
      </c>
    </row>
    <row r="221" spans="1:22">
      <c r="A221" s="17" t="s">
        <v>129</v>
      </c>
      <c r="B221" s="17" t="s">
        <v>143</v>
      </c>
      <c r="C221" s="17" t="s">
        <v>1140</v>
      </c>
      <c r="D221" s="17" t="s">
        <v>116</v>
      </c>
      <c r="E221" s="18">
        <v>296</v>
      </c>
      <c r="F221" s="17" t="s">
        <v>139</v>
      </c>
      <c r="G221" s="18">
        <v>0</v>
      </c>
      <c r="H221" s="18">
        <v>892</v>
      </c>
      <c r="I221" s="17" t="s">
        <v>1141</v>
      </c>
      <c r="J221" s="17" t="s">
        <v>29</v>
      </c>
      <c r="K221" s="17" t="s">
        <v>330</v>
      </c>
      <c r="L221" s="17" t="s">
        <v>104</v>
      </c>
      <c r="M221" s="17" t="s">
        <v>11</v>
      </c>
      <c r="N221" s="19">
        <v>45796</v>
      </c>
      <c r="O221" s="17" t="s">
        <v>133</v>
      </c>
      <c r="P221" s="17" t="s">
        <v>1142</v>
      </c>
      <c r="Q221" s="17" t="s">
        <v>1143</v>
      </c>
      <c r="R221" s="17" t="s">
        <v>99</v>
      </c>
      <c r="S221" s="17" t="s">
        <v>1122</v>
      </c>
      <c r="T221" s="19">
        <v>45797.51944444444</v>
      </c>
      <c r="U221" s="17" t="s">
        <v>1122</v>
      </c>
      <c r="V221" s="19">
        <v>45797.51944444444</v>
      </c>
    </row>
    <row r="222" spans="1:22">
      <c r="A222" s="17" t="s">
        <v>130</v>
      </c>
      <c r="B222" s="17" t="s">
        <v>142</v>
      </c>
      <c r="C222" s="17" t="s">
        <v>1140</v>
      </c>
      <c r="D222" s="17" t="s">
        <v>116</v>
      </c>
      <c r="E222" s="18">
        <v>296</v>
      </c>
      <c r="F222" s="17" t="s">
        <v>139</v>
      </c>
      <c r="G222" s="18">
        <v>0</v>
      </c>
      <c r="H222" s="18">
        <v>888</v>
      </c>
      <c r="I222" s="17" t="s">
        <v>1144</v>
      </c>
      <c r="J222" s="17" t="s">
        <v>40</v>
      </c>
      <c r="K222" s="17" t="s">
        <v>466</v>
      </c>
      <c r="L222" s="17" t="s">
        <v>17</v>
      </c>
      <c r="M222" s="17" t="s">
        <v>17</v>
      </c>
      <c r="N222" s="19">
        <v>45796.60416666666</v>
      </c>
      <c r="O222" s="17" t="s">
        <v>133</v>
      </c>
      <c r="P222" s="17" t="s">
        <v>1145</v>
      </c>
      <c r="Q222" s="17" t="s">
        <v>1146</v>
      </c>
      <c r="R222" s="17" t="s">
        <v>99</v>
      </c>
      <c r="S222" s="17" t="s">
        <v>1026</v>
      </c>
      <c r="T222" s="19">
        <v>45796.68402777778</v>
      </c>
      <c r="U222" s="17" t="s">
        <v>1026</v>
      </c>
      <c r="V222" s="19">
        <v>45796.68402777778</v>
      </c>
    </row>
    <row r="223" spans="1:22">
      <c r="A223" s="17" t="s">
        <v>129</v>
      </c>
      <c r="B223" s="17" t="s">
        <v>141</v>
      </c>
      <c r="C223" s="17" t="s">
        <v>1147</v>
      </c>
      <c r="D223" s="17" t="s">
        <v>116</v>
      </c>
      <c r="E223" s="18">
        <v>299</v>
      </c>
      <c r="F223" s="17" t="s">
        <v>139</v>
      </c>
      <c r="G223" s="18">
        <v>0</v>
      </c>
      <c r="H223" s="18">
        <v>876</v>
      </c>
      <c r="I223" s="17" t="s">
        <v>1148</v>
      </c>
      <c r="J223" s="17" t="s">
        <v>62</v>
      </c>
      <c r="K223" s="17" t="s">
        <v>352</v>
      </c>
      <c r="L223" s="17" t="s">
        <v>104</v>
      </c>
      <c r="M223" s="17" t="s">
        <v>8</v>
      </c>
      <c r="N223" s="19">
        <v>45793</v>
      </c>
      <c r="O223" s="17" t="s">
        <v>133</v>
      </c>
      <c r="P223" s="17" t="s">
        <v>1149</v>
      </c>
      <c r="Q223" s="17" t="s">
        <v>1150</v>
      </c>
      <c r="R223" s="17" t="s">
        <v>99</v>
      </c>
      <c r="S223" s="17" t="s">
        <v>1096</v>
      </c>
      <c r="T223" s="19">
        <v>45793.7625</v>
      </c>
      <c r="U223" s="17" t="s">
        <v>1096</v>
      </c>
      <c r="V223" s="19">
        <v>45797.72152777778</v>
      </c>
    </row>
    <row r="224" spans="1:22">
      <c r="A224" s="17" t="s">
        <v>130</v>
      </c>
      <c r="B224" s="17" t="s">
        <v>142</v>
      </c>
      <c r="C224" s="17" t="s">
        <v>1151</v>
      </c>
      <c r="D224" s="17" t="s">
        <v>116</v>
      </c>
      <c r="E224" s="18">
        <v>302</v>
      </c>
      <c r="F224" s="17" t="s">
        <v>139</v>
      </c>
      <c r="G224" s="18">
        <v>0</v>
      </c>
      <c r="H224" s="18">
        <v>857</v>
      </c>
      <c r="I224" s="17" t="s">
        <v>1152</v>
      </c>
      <c r="J224" s="17" t="s">
        <v>62</v>
      </c>
      <c r="K224" s="17" t="s">
        <v>321</v>
      </c>
      <c r="L224" s="17" t="s">
        <v>104</v>
      </c>
      <c r="M224" s="17" t="s">
        <v>11</v>
      </c>
      <c r="N224" s="19">
        <v>45790.25</v>
      </c>
      <c r="O224" s="17" t="s">
        <v>133</v>
      </c>
      <c r="P224" s="17" t="s">
        <v>1153</v>
      </c>
      <c r="Q224" s="17" t="s">
        <v>1154</v>
      </c>
      <c r="R224" s="17" t="s">
        <v>99</v>
      </c>
      <c r="S224" s="17" t="s">
        <v>1026</v>
      </c>
      <c r="T224" s="19">
        <v>45790.30208333334</v>
      </c>
      <c r="U224" s="17" t="s">
        <v>1026</v>
      </c>
      <c r="V224" s="19">
        <v>45790.30208333334</v>
      </c>
    </row>
    <row r="225" spans="1:22">
      <c r="A225" s="17" t="s">
        <v>130</v>
      </c>
      <c r="B225" s="17" t="s">
        <v>142</v>
      </c>
      <c r="C225" s="17" t="s">
        <v>1155</v>
      </c>
      <c r="D225" s="17" t="s">
        <v>116</v>
      </c>
      <c r="E225" s="18">
        <v>307</v>
      </c>
      <c r="F225" s="17" t="s">
        <v>139</v>
      </c>
      <c r="G225" s="18">
        <v>0</v>
      </c>
      <c r="H225" s="18">
        <v>842</v>
      </c>
      <c r="I225" s="17" t="s">
        <v>1156</v>
      </c>
      <c r="J225" s="17" t="s">
        <v>67</v>
      </c>
      <c r="K225" s="17" t="s">
        <v>586</v>
      </c>
      <c r="L225" s="17" t="s">
        <v>104</v>
      </c>
      <c r="M225" s="17" t="s">
        <v>18</v>
      </c>
      <c r="N225" s="19">
        <v>45785</v>
      </c>
      <c r="O225" s="17" t="s">
        <v>133</v>
      </c>
      <c r="P225" s="17" t="s">
        <v>1157</v>
      </c>
      <c r="Q225" s="17" t="s">
        <v>1158</v>
      </c>
      <c r="R225" s="17" t="s">
        <v>99</v>
      </c>
      <c r="S225" s="17" t="s">
        <v>1159</v>
      </c>
      <c r="T225" s="19">
        <v>45785.5</v>
      </c>
      <c r="U225" s="17" t="s">
        <v>1159</v>
      </c>
      <c r="V225" s="19">
        <v>45785.5</v>
      </c>
    </row>
    <row r="226" spans="1:22">
      <c r="A226" s="17" t="s">
        <v>129</v>
      </c>
      <c r="B226" s="17" t="s">
        <v>143</v>
      </c>
      <c r="C226" s="17" t="s">
        <v>1160</v>
      </c>
      <c r="D226" s="17" t="s">
        <v>116</v>
      </c>
      <c r="E226" s="18">
        <v>308</v>
      </c>
      <c r="F226" s="17" t="s">
        <v>139</v>
      </c>
      <c r="G226" s="18">
        <v>0</v>
      </c>
      <c r="H226" s="18">
        <v>839</v>
      </c>
      <c r="I226" s="17" t="s">
        <v>1161</v>
      </c>
      <c r="J226" s="17" t="s">
        <v>36</v>
      </c>
      <c r="K226" s="17" t="s">
        <v>360</v>
      </c>
      <c r="L226" s="17" t="s">
        <v>17</v>
      </c>
      <c r="M226" s="17" t="s">
        <v>17</v>
      </c>
      <c r="N226" s="19">
        <v>45784</v>
      </c>
      <c r="O226" s="17" t="s">
        <v>132</v>
      </c>
      <c r="P226" s="17" t="s">
        <v>1162</v>
      </c>
      <c r="Q226" s="17" t="s">
        <v>1163</v>
      </c>
      <c r="R226" s="17" t="s">
        <v>99</v>
      </c>
      <c r="S226" s="17" t="s">
        <v>1164</v>
      </c>
      <c r="T226" s="19">
        <v>45784.44236111111</v>
      </c>
      <c r="U226" s="17" t="s">
        <v>1164</v>
      </c>
      <c r="V226" s="19">
        <v>45784.44236111111</v>
      </c>
    </row>
    <row r="227" spans="1:22">
      <c r="A227" s="17" t="s">
        <v>130</v>
      </c>
      <c r="B227" s="17" t="s">
        <v>142</v>
      </c>
      <c r="C227" s="17" t="s">
        <v>1165</v>
      </c>
      <c r="D227" s="17" t="s">
        <v>116</v>
      </c>
      <c r="E227" s="18">
        <v>309</v>
      </c>
      <c r="F227" s="17" t="s">
        <v>139</v>
      </c>
      <c r="G227" s="18">
        <v>0</v>
      </c>
      <c r="H227" s="18">
        <v>837</v>
      </c>
      <c r="I227" s="17" t="s">
        <v>1166</v>
      </c>
      <c r="J227" s="17" t="s">
        <v>62</v>
      </c>
      <c r="K227" s="17" t="s">
        <v>553</v>
      </c>
      <c r="L227" s="17" t="s">
        <v>17</v>
      </c>
      <c r="M227" s="17" t="s">
        <v>17</v>
      </c>
      <c r="N227" s="19">
        <v>45783.66666666666</v>
      </c>
      <c r="O227" s="17" t="s">
        <v>133</v>
      </c>
      <c r="P227" s="17" t="s">
        <v>1167</v>
      </c>
      <c r="Q227" s="17" t="s">
        <v>1168</v>
      </c>
      <c r="R227" s="17" t="s">
        <v>99</v>
      </c>
      <c r="S227" s="17" t="s">
        <v>997</v>
      </c>
      <c r="T227" s="19">
        <v>45783.74861111111</v>
      </c>
      <c r="U227" s="17" t="s">
        <v>997</v>
      </c>
      <c r="V227" s="19">
        <v>45783.74861111111</v>
      </c>
    </row>
    <row r="228" spans="1:22">
      <c r="A228" s="17" t="s">
        <v>129</v>
      </c>
      <c r="B228" s="17" t="s">
        <v>147</v>
      </c>
      <c r="C228" s="17" t="s">
        <v>1169</v>
      </c>
      <c r="D228" s="17" t="s">
        <v>116</v>
      </c>
      <c r="E228" s="18">
        <v>310</v>
      </c>
      <c r="F228" s="17" t="s">
        <v>139</v>
      </c>
      <c r="G228" s="18">
        <v>0</v>
      </c>
      <c r="H228" s="18">
        <v>835</v>
      </c>
      <c r="I228" s="17" t="s">
        <v>1170</v>
      </c>
      <c r="J228" s="17" t="s">
        <v>47</v>
      </c>
      <c r="K228" s="17" t="s">
        <v>697</v>
      </c>
      <c r="L228" s="17" t="s">
        <v>104</v>
      </c>
      <c r="M228" s="17" t="s">
        <v>18</v>
      </c>
      <c r="N228" s="19">
        <v>45782</v>
      </c>
      <c r="O228" s="17" t="s">
        <v>133</v>
      </c>
      <c r="P228" s="17" t="s">
        <v>1171</v>
      </c>
      <c r="Q228" s="17" t="s">
        <v>1172</v>
      </c>
      <c r="R228" s="17" t="s">
        <v>99</v>
      </c>
      <c r="S228" s="17" t="s">
        <v>1096</v>
      </c>
      <c r="T228" s="19">
        <v>45783.53611111111</v>
      </c>
      <c r="U228" s="17" t="s">
        <v>1096</v>
      </c>
      <c r="V228" s="19">
        <v>45783.53611111111</v>
      </c>
    </row>
    <row r="229" spans="1:22">
      <c r="A229" s="17" t="s">
        <v>129</v>
      </c>
      <c r="B229" s="17" t="s">
        <v>146</v>
      </c>
      <c r="C229" s="17" t="s">
        <v>1173</v>
      </c>
      <c r="D229" s="17" t="s">
        <v>116</v>
      </c>
      <c r="E229" s="18">
        <v>313</v>
      </c>
      <c r="F229" s="17" t="s">
        <v>139</v>
      </c>
      <c r="G229" s="18">
        <v>0</v>
      </c>
      <c r="H229" s="18">
        <v>830</v>
      </c>
      <c r="I229" s="17" t="s">
        <v>1174</v>
      </c>
      <c r="J229" s="17" t="s">
        <v>43</v>
      </c>
      <c r="K229" s="17" t="s">
        <v>1175</v>
      </c>
      <c r="L229" s="17" t="s">
        <v>104</v>
      </c>
      <c r="M229" s="17" t="s">
        <v>4</v>
      </c>
      <c r="N229" s="19">
        <v>45779</v>
      </c>
      <c r="O229" s="17" t="s">
        <v>132</v>
      </c>
      <c r="P229" s="17" t="s">
        <v>1176</v>
      </c>
      <c r="Q229" s="17" t="s">
        <v>1177</v>
      </c>
      <c r="R229" s="17" t="s">
        <v>99</v>
      </c>
      <c r="S229" s="17" t="s">
        <v>1122</v>
      </c>
      <c r="T229" s="19">
        <v>45782.48402777778</v>
      </c>
      <c r="U229" s="17" t="s">
        <v>1122</v>
      </c>
      <c r="V229" s="19">
        <v>45782.48402777778</v>
      </c>
    </row>
    <row r="230" spans="1:22">
      <c r="A230" s="17" t="s">
        <v>129</v>
      </c>
      <c r="B230" s="17" t="s">
        <v>143</v>
      </c>
      <c r="C230" s="17" t="s">
        <v>1178</v>
      </c>
      <c r="D230" s="17" t="s">
        <v>115</v>
      </c>
      <c r="E230" s="18">
        <v>317</v>
      </c>
      <c r="F230" s="17" t="s">
        <v>139</v>
      </c>
      <c r="G230" s="18">
        <v>0</v>
      </c>
      <c r="H230" s="18">
        <v>829</v>
      </c>
      <c r="I230" s="17" t="s">
        <v>1179</v>
      </c>
      <c r="J230" s="17" t="s">
        <v>29</v>
      </c>
      <c r="K230" s="17" t="s">
        <v>662</v>
      </c>
      <c r="L230" s="17" t="s">
        <v>104</v>
      </c>
      <c r="M230" s="17" t="s">
        <v>11</v>
      </c>
      <c r="N230" s="19">
        <v>45775</v>
      </c>
      <c r="O230" s="17" t="s">
        <v>132</v>
      </c>
      <c r="P230" s="17" t="s">
        <v>1180</v>
      </c>
      <c r="Q230" s="17" t="s">
        <v>1181</v>
      </c>
      <c r="R230" s="17" t="s">
        <v>99</v>
      </c>
      <c r="S230" s="17" t="s">
        <v>1164</v>
      </c>
      <c r="T230" s="19">
        <v>45782.47291666667</v>
      </c>
      <c r="U230" s="17" t="s">
        <v>1164</v>
      </c>
      <c r="V230" s="19">
        <v>45782.47291666667</v>
      </c>
    </row>
    <row r="231" spans="1:22">
      <c r="A231" s="17" t="s">
        <v>130</v>
      </c>
      <c r="B231" s="17" t="s">
        <v>142</v>
      </c>
      <c r="C231" s="17" t="s">
        <v>1182</v>
      </c>
      <c r="D231" s="17" t="s">
        <v>116</v>
      </c>
      <c r="E231" s="18">
        <v>311</v>
      </c>
      <c r="F231" s="17" t="s">
        <v>139</v>
      </c>
      <c r="G231" s="18">
        <v>0</v>
      </c>
      <c r="H231" s="18">
        <v>825</v>
      </c>
      <c r="I231" s="17" t="s">
        <v>1183</v>
      </c>
      <c r="J231" s="17" t="s">
        <v>37</v>
      </c>
      <c r="K231" s="17" t="s">
        <v>484</v>
      </c>
      <c r="L231" s="17" t="s">
        <v>17</v>
      </c>
      <c r="M231" s="17"/>
      <c r="N231" s="19">
        <v>45781</v>
      </c>
      <c r="O231" s="17" t="s">
        <v>133</v>
      </c>
      <c r="P231" s="17" t="s">
        <v>1184</v>
      </c>
      <c r="Q231" s="17" t="s">
        <v>1185</v>
      </c>
      <c r="R231" s="17" t="s">
        <v>99</v>
      </c>
      <c r="S231" s="17" t="s">
        <v>997</v>
      </c>
      <c r="T231" s="19">
        <v>45781.71388888889</v>
      </c>
      <c r="U231" s="17" t="s">
        <v>997</v>
      </c>
      <c r="V231" s="19">
        <v>45781.71388888889</v>
      </c>
    </row>
    <row r="232" spans="1:22">
      <c r="A232" s="17" t="s">
        <v>130</v>
      </c>
      <c r="B232" s="17" t="s">
        <v>144</v>
      </c>
      <c r="C232" s="17" t="s">
        <v>1186</v>
      </c>
      <c r="D232" s="17" t="s">
        <v>115</v>
      </c>
      <c r="E232" s="18">
        <v>315</v>
      </c>
      <c r="F232" s="17" t="s">
        <v>139</v>
      </c>
      <c r="G232" s="18">
        <v>0</v>
      </c>
      <c r="H232" s="18">
        <v>821</v>
      </c>
      <c r="I232" s="17" t="s">
        <v>1187</v>
      </c>
      <c r="J232" s="17" t="s">
        <v>65</v>
      </c>
      <c r="K232" s="17" t="s">
        <v>335</v>
      </c>
      <c r="L232" s="17" t="s">
        <v>17</v>
      </c>
      <c r="M232" s="17" t="s">
        <v>17</v>
      </c>
      <c r="N232" s="19">
        <v>45777.375</v>
      </c>
      <c r="O232" s="17" t="s">
        <v>133</v>
      </c>
      <c r="P232" s="17" t="s">
        <v>1188</v>
      </c>
      <c r="Q232" s="17" t="s">
        <v>1189</v>
      </c>
      <c r="R232" s="17" t="s">
        <v>99</v>
      </c>
      <c r="S232" s="17" t="s">
        <v>1190</v>
      </c>
      <c r="T232" s="19">
        <v>45778.40416666667</v>
      </c>
      <c r="U232" s="17" t="s">
        <v>1190</v>
      </c>
      <c r="V232" s="19">
        <v>45778.40416666667</v>
      </c>
    </row>
    <row r="233" spans="1:22">
      <c r="A233" s="17" t="s">
        <v>129</v>
      </c>
      <c r="B233" s="17" t="s">
        <v>147</v>
      </c>
      <c r="C233" s="17" t="s">
        <v>1191</v>
      </c>
      <c r="D233" s="17" t="s">
        <v>115</v>
      </c>
      <c r="E233" s="18">
        <v>320</v>
      </c>
      <c r="F233" s="17" t="s">
        <v>139</v>
      </c>
      <c r="G233" s="18">
        <v>0</v>
      </c>
      <c r="H233" s="18">
        <v>806</v>
      </c>
      <c r="I233" s="17" t="s">
        <v>1192</v>
      </c>
      <c r="J233" s="17" t="s">
        <v>62</v>
      </c>
      <c r="K233" s="17" t="s">
        <v>530</v>
      </c>
      <c r="L233" s="17" t="s">
        <v>104</v>
      </c>
      <c r="M233" s="17" t="s">
        <v>8</v>
      </c>
      <c r="N233" s="19">
        <v>45772</v>
      </c>
      <c r="O233" s="17" t="s">
        <v>133</v>
      </c>
      <c r="P233" s="17" t="s">
        <v>1193</v>
      </c>
      <c r="Q233" s="17" t="s">
        <v>1194</v>
      </c>
      <c r="R233" s="17" t="s">
        <v>99</v>
      </c>
      <c r="S233" s="17" t="s">
        <v>1096</v>
      </c>
      <c r="T233" s="19">
        <v>45775.55277777778</v>
      </c>
      <c r="U233" s="17" t="s">
        <v>1096</v>
      </c>
      <c r="V233" s="19">
        <v>45775.55277777778</v>
      </c>
    </row>
    <row r="234" spans="1:22">
      <c r="A234" s="17" t="s">
        <v>129</v>
      </c>
      <c r="B234" s="17" t="s">
        <v>143</v>
      </c>
      <c r="C234" s="17" t="s">
        <v>1191</v>
      </c>
      <c r="D234" s="17" t="s">
        <v>115</v>
      </c>
      <c r="E234" s="18">
        <v>320</v>
      </c>
      <c r="F234" s="17" t="s">
        <v>139</v>
      </c>
      <c r="G234" s="18">
        <v>0</v>
      </c>
      <c r="H234" s="18">
        <v>804</v>
      </c>
      <c r="I234" s="17" t="s">
        <v>1195</v>
      </c>
      <c r="J234" s="17" t="s">
        <v>56</v>
      </c>
      <c r="K234" s="17" t="s">
        <v>475</v>
      </c>
      <c r="L234" s="17" t="s">
        <v>104</v>
      </c>
      <c r="M234" s="17" t="s">
        <v>20</v>
      </c>
      <c r="N234" s="19">
        <v>45772</v>
      </c>
      <c r="O234" s="17" t="s">
        <v>133</v>
      </c>
      <c r="P234" s="17" t="s">
        <v>1196</v>
      </c>
      <c r="Q234" s="17" t="s">
        <v>1197</v>
      </c>
      <c r="R234" s="17" t="s">
        <v>99</v>
      </c>
      <c r="S234" s="17" t="s">
        <v>1096</v>
      </c>
      <c r="T234" s="19">
        <v>45775.48125</v>
      </c>
      <c r="U234" s="17" t="s">
        <v>1096</v>
      </c>
      <c r="V234" s="19">
        <v>45775.48125</v>
      </c>
    </row>
    <row r="235" spans="1:22">
      <c r="A235" s="17" t="s">
        <v>129</v>
      </c>
      <c r="B235" s="17" t="s">
        <v>141</v>
      </c>
      <c r="C235" s="17" t="s">
        <v>1191</v>
      </c>
      <c r="D235" s="17" t="s">
        <v>115</v>
      </c>
      <c r="E235" s="18">
        <v>320</v>
      </c>
      <c r="F235" s="17" t="s">
        <v>139</v>
      </c>
      <c r="G235" s="18">
        <v>0</v>
      </c>
      <c r="H235" s="18">
        <v>799</v>
      </c>
      <c r="I235" s="17" t="s">
        <v>1198</v>
      </c>
      <c r="J235" s="17" t="s">
        <v>62</v>
      </c>
      <c r="K235" s="17" t="s">
        <v>352</v>
      </c>
      <c r="L235" s="17" t="s">
        <v>104</v>
      </c>
      <c r="M235" s="17" t="s">
        <v>22</v>
      </c>
      <c r="N235" s="19">
        <v>45772</v>
      </c>
      <c r="O235" s="17" t="s">
        <v>133</v>
      </c>
      <c r="P235" s="17" t="s">
        <v>1199</v>
      </c>
      <c r="Q235" s="17" t="s">
        <v>1200</v>
      </c>
      <c r="R235" s="17" t="s">
        <v>99</v>
      </c>
      <c r="S235" s="17" t="s">
        <v>1068</v>
      </c>
      <c r="T235" s="19">
        <v>45772.71875</v>
      </c>
      <c r="U235" s="17" t="s">
        <v>1068</v>
      </c>
      <c r="V235" s="19">
        <v>45772.71875</v>
      </c>
    </row>
    <row r="236" spans="1:22">
      <c r="A236" s="17" t="s">
        <v>130</v>
      </c>
      <c r="B236" s="17" t="s">
        <v>142</v>
      </c>
      <c r="C236" s="17" t="s">
        <v>1201</v>
      </c>
      <c r="D236" s="17" t="s">
        <v>115</v>
      </c>
      <c r="E236" s="18">
        <v>321</v>
      </c>
      <c r="F236" s="17" t="s">
        <v>139</v>
      </c>
      <c r="G236" s="18">
        <v>0</v>
      </c>
      <c r="H236" s="18">
        <v>791</v>
      </c>
      <c r="I236" s="17" t="s">
        <v>1202</v>
      </c>
      <c r="J236" s="17" t="s">
        <v>40</v>
      </c>
      <c r="K236" s="17" t="s">
        <v>466</v>
      </c>
      <c r="L236" s="17" t="s">
        <v>17</v>
      </c>
      <c r="M236" s="17" t="s">
        <v>17</v>
      </c>
      <c r="N236" s="19">
        <v>45771</v>
      </c>
      <c r="O236" s="17" t="s">
        <v>133</v>
      </c>
      <c r="P236" s="17" t="s">
        <v>1203</v>
      </c>
      <c r="Q236" s="17" t="s">
        <v>1204</v>
      </c>
      <c r="R236" s="17" t="s">
        <v>99</v>
      </c>
      <c r="S236" s="17" t="s">
        <v>997</v>
      </c>
      <c r="T236" s="19">
        <v>45771.7625</v>
      </c>
      <c r="U236" s="17" t="s">
        <v>997</v>
      </c>
      <c r="V236" s="19">
        <v>45771.7625</v>
      </c>
    </row>
    <row r="237" spans="1:22">
      <c r="A237" s="17" t="s">
        <v>130</v>
      </c>
      <c r="B237" s="17" t="s">
        <v>144</v>
      </c>
      <c r="C237" s="17" t="s">
        <v>1205</v>
      </c>
      <c r="D237" s="17" t="s">
        <v>115</v>
      </c>
      <c r="E237" s="18">
        <v>322</v>
      </c>
      <c r="F237" s="17" t="s">
        <v>139</v>
      </c>
      <c r="G237" s="18">
        <v>0</v>
      </c>
      <c r="H237" s="18">
        <v>784</v>
      </c>
      <c r="I237" s="17" t="s">
        <v>1206</v>
      </c>
      <c r="J237" s="17" t="s">
        <v>65</v>
      </c>
      <c r="K237" s="17" t="s">
        <v>335</v>
      </c>
      <c r="L237" s="17" t="s">
        <v>17</v>
      </c>
      <c r="M237" s="17" t="s">
        <v>17</v>
      </c>
      <c r="N237" s="19">
        <v>45770.33333333334</v>
      </c>
      <c r="O237" s="17" t="s">
        <v>133</v>
      </c>
      <c r="P237" s="17" t="s">
        <v>1207</v>
      </c>
      <c r="Q237" s="17" t="s">
        <v>1208</v>
      </c>
      <c r="R237" s="17" t="s">
        <v>99</v>
      </c>
      <c r="S237" s="17" t="s">
        <v>1190</v>
      </c>
      <c r="T237" s="19">
        <v>45770.39652777778</v>
      </c>
      <c r="U237" s="17" t="s">
        <v>1190</v>
      </c>
      <c r="V237" s="19">
        <v>45770.39652777778</v>
      </c>
    </row>
    <row r="238" spans="1:22">
      <c r="A238" s="17" t="s">
        <v>130</v>
      </c>
      <c r="B238" s="17" t="s">
        <v>144</v>
      </c>
      <c r="C238" s="17" t="s">
        <v>1209</v>
      </c>
      <c r="D238" s="17" t="s">
        <v>115</v>
      </c>
      <c r="E238" s="18">
        <v>327</v>
      </c>
      <c r="F238" s="17" t="s">
        <v>139</v>
      </c>
      <c r="G238" s="18">
        <v>0</v>
      </c>
      <c r="H238" s="18">
        <v>770</v>
      </c>
      <c r="I238" s="17" t="s">
        <v>1210</v>
      </c>
      <c r="J238" s="17" t="s">
        <v>65</v>
      </c>
      <c r="K238" s="17" t="s">
        <v>335</v>
      </c>
      <c r="L238" s="17" t="s">
        <v>17</v>
      </c>
      <c r="M238" s="17" t="s">
        <v>17</v>
      </c>
      <c r="N238" s="19">
        <v>45765</v>
      </c>
      <c r="O238" s="17" t="s">
        <v>132</v>
      </c>
      <c r="P238" s="17" t="s">
        <v>1211</v>
      </c>
      <c r="Q238" s="17" t="s">
        <v>1212</v>
      </c>
      <c r="R238" s="17" t="s">
        <v>99</v>
      </c>
      <c r="S238" s="17" t="s">
        <v>997</v>
      </c>
      <c r="T238" s="19">
        <v>45765.69305555556</v>
      </c>
      <c r="U238" s="17" t="s">
        <v>997</v>
      </c>
      <c r="V238" s="19">
        <v>45769.37222222222</v>
      </c>
    </row>
    <row r="239" spans="1:22">
      <c r="A239" s="17" t="s">
        <v>130</v>
      </c>
      <c r="B239" s="17" t="s">
        <v>142</v>
      </c>
      <c r="C239" s="17" t="s">
        <v>1213</v>
      </c>
      <c r="D239" s="17" t="s">
        <v>115</v>
      </c>
      <c r="E239" s="18">
        <v>328</v>
      </c>
      <c r="F239" s="17" t="s">
        <v>139</v>
      </c>
      <c r="G239" s="18">
        <v>0</v>
      </c>
      <c r="H239" s="18">
        <v>769</v>
      </c>
      <c r="I239" s="17" t="s">
        <v>1214</v>
      </c>
      <c r="J239" s="17" t="s">
        <v>67</v>
      </c>
      <c r="K239" s="17" t="s">
        <v>586</v>
      </c>
      <c r="L239" s="17" t="s">
        <v>104</v>
      </c>
      <c r="M239" s="17"/>
      <c r="N239" s="19">
        <v>45764.9375</v>
      </c>
      <c r="O239" s="17" t="s">
        <v>133</v>
      </c>
      <c r="P239" s="17" t="s">
        <v>1215</v>
      </c>
      <c r="Q239" s="17" t="s">
        <v>1216</v>
      </c>
      <c r="R239" s="17" t="s">
        <v>99</v>
      </c>
      <c r="S239" s="17" t="s">
        <v>1026</v>
      </c>
      <c r="T239" s="19">
        <v>45764.98055555556</v>
      </c>
      <c r="U239" s="17" t="s">
        <v>1026</v>
      </c>
      <c r="V239" s="19">
        <v>45769.37569444445</v>
      </c>
    </row>
    <row r="240" spans="1:22">
      <c r="A240" s="17" t="s">
        <v>130</v>
      </c>
      <c r="B240" s="17" t="s">
        <v>142</v>
      </c>
      <c r="C240" s="17" t="s">
        <v>1213</v>
      </c>
      <c r="D240" s="17" t="s">
        <v>115</v>
      </c>
      <c r="E240" s="18">
        <v>328</v>
      </c>
      <c r="F240" s="17" t="s">
        <v>139</v>
      </c>
      <c r="G240" s="18">
        <v>0</v>
      </c>
      <c r="H240" s="18">
        <v>762</v>
      </c>
      <c r="I240" s="17" t="s">
        <v>1217</v>
      </c>
      <c r="J240" s="17" t="s">
        <v>40</v>
      </c>
      <c r="K240" s="17" t="s">
        <v>500</v>
      </c>
      <c r="L240" s="17" t="s">
        <v>104</v>
      </c>
      <c r="M240" s="17" t="s">
        <v>18</v>
      </c>
      <c r="N240" s="19">
        <v>45764.34027777778</v>
      </c>
      <c r="O240" s="17" t="s">
        <v>133</v>
      </c>
      <c r="P240" s="17" t="s">
        <v>1218</v>
      </c>
      <c r="Q240" s="17" t="s">
        <v>1219</v>
      </c>
      <c r="R240" s="17" t="s">
        <v>99</v>
      </c>
      <c r="S240" s="17" t="s">
        <v>1026</v>
      </c>
      <c r="T240" s="19">
        <v>45764.44166666667</v>
      </c>
      <c r="U240" s="17" t="s">
        <v>1026</v>
      </c>
      <c r="V240" s="19">
        <v>45764.44166666667</v>
      </c>
    </row>
    <row r="241" spans="1:22">
      <c r="A241" s="17" t="s">
        <v>129</v>
      </c>
      <c r="B241" s="17" t="s">
        <v>141</v>
      </c>
      <c r="C241" s="17" t="s">
        <v>1220</v>
      </c>
      <c r="D241" s="17" t="s">
        <v>115</v>
      </c>
      <c r="E241" s="18">
        <v>332</v>
      </c>
      <c r="F241" s="17" t="s">
        <v>139</v>
      </c>
      <c r="G241" s="18">
        <v>0</v>
      </c>
      <c r="H241" s="18">
        <v>743</v>
      </c>
      <c r="I241" s="17" t="s">
        <v>1221</v>
      </c>
      <c r="J241" s="17" t="s">
        <v>51</v>
      </c>
      <c r="K241" s="17" t="s">
        <v>352</v>
      </c>
      <c r="L241" s="17" t="s">
        <v>104</v>
      </c>
      <c r="M241" s="17"/>
      <c r="N241" s="19">
        <v>45760</v>
      </c>
      <c r="O241" s="17" t="s">
        <v>132</v>
      </c>
      <c r="P241" s="17" t="s">
        <v>1222</v>
      </c>
      <c r="Q241" s="17" t="s">
        <v>1223</v>
      </c>
      <c r="R241" s="17" t="s">
        <v>99</v>
      </c>
      <c r="S241" s="17" t="s">
        <v>1096</v>
      </c>
      <c r="T241" s="19">
        <v>45761.75416666667</v>
      </c>
      <c r="U241" s="17" t="s">
        <v>1096</v>
      </c>
      <c r="V241" s="19">
        <v>45761.75763888889</v>
      </c>
    </row>
    <row r="242" spans="1:22">
      <c r="A242" s="17" t="s">
        <v>129</v>
      </c>
      <c r="B242" s="17" t="s">
        <v>146</v>
      </c>
      <c r="C242" s="17" t="s">
        <v>1224</v>
      </c>
      <c r="D242" s="17" t="s">
        <v>115</v>
      </c>
      <c r="E242" s="18">
        <v>331</v>
      </c>
      <c r="F242" s="17" t="s">
        <v>139</v>
      </c>
      <c r="G242" s="18">
        <v>0</v>
      </c>
      <c r="H242" s="18">
        <v>739</v>
      </c>
      <c r="I242" s="17" t="s">
        <v>1225</v>
      </c>
      <c r="J242" s="17" t="s">
        <v>43</v>
      </c>
      <c r="K242" s="17" t="s">
        <v>288</v>
      </c>
      <c r="L242" s="17" t="s">
        <v>17</v>
      </c>
      <c r="M242" s="17" t="s">
        <v>17</v>
      </c>
      <c r="N242" s="19">
        <v>45761</v>
      </c>
      <c r="O242" s="17" t="s">
        <v>133</v>
      </c>
      <c r="P242" s="17" t="s">
        <v>1226</v>
      </c>
      <c r="Q242" s="17" t="s">
        <v>1227</v>
      </c>
      <c r="R242" s="17" t="s">
        <v>99</v>
      </c>
      <c r="S242" s="17" t="s">
        <v>1228</v>
      </c>
      <c r="T242" s="19">
        <v>45761.49513888889</v>
      </c>
      <c r="U242" s="17" t="s">
        <v>1228</v>
      </c>
      <c r="V242" s="19">
        <v>45761.49513888889</v>
      </c>
    </row>
    <row r="243" spans="1:22">
      <c r="A243" s="17" t="s">
        <v>130</v>
      </c>
      <c r="B243" s="17" t="s">
        <v>142</v>
      </c>
      <c r="C243" s="17" t="s">
        <v>1229</v>
      </c>
      <c r="D243" s="17" t="s">
        <v>115</v>
      </c>
      <c r="E243" s="18">
        <v>334</v>
      </c>
      <c r="F243" s="17" t="s">
        <v>139</v>
      </c>
      <c r="G243" s="18">
        <v>0</v>
      </c>
      <c r="H243" s="18">
        <v>733</v>
      </c>
      <c r="I243" s="17" t="s">
        <v>1230</v>
      </c>
      <c r="J243" s="17" t="s">
        <v>40</v>
      </c>
      <c r="K243" s="17" t="s">
        <v>321</v>
      </c>
      <c r="L243" s="17" t="s">
        <v>17</v>
      </c>
      <c r="M243" s="17" t="s">
        <v>17</v>
      </c>
      <c r="N243" s="19">
        <v>45758</v>
      </c>
      <c r="O243" s="17" t="s">
        <v>132</v>
      </c>
      <c r="P243" s="17" t="s">
        <v>1231</v>
      </c>
      <c r="Q243" s="17" t="s">
        <v>1232</v>
      </c>
      <c r="R243" s="17" t="s">
        <v>99</v>
      </c>
      <c r="S243" s="17" t="s">
        <v>1159</v>
      </c>
      <c r="T243" s="19">
        <v>45758.44027777778</v>
      </c>
      <c r="U243" s="17" t="s">
        <v>1159</v>
      </c>
      <c r="V243" s="19">
        <v>45769.37291666667</v>
      </c>
    </row>
    <row r="244" spans="1:22">
      <c r="A244" s="17" t="s">
        <v>129</v>
      </c>
      <c r="B244" s="17" t="s">
        <v>141</v>
      </c>
      <c r="C244" s="17" t="s">
        <v>1233</v>
      </c>
      <c r="D244" s="17" t="s">
        <v>115</v>
      </c>
      <c r="E244" s="18">
        <v>342</v>
      </c>
      <c r="F244" s="17" t="s">
        <v>139</v>
      </c>
      <c r="G244" s="18">
        <v>0</v>
      </c>
      <c r="H244" s="18">
        <v>706</v>
      </c>
      <c r="I244" s="17" t="s">
        <v>1234</v>
      </c>
      <c r="J244" s="17" t="s">
        <v>46</v>
      </c>
      <c r="K244" s="17" t="s">
        <v>352</v>
      </c>
      <c r="L244" s="17" t="s">
        <v>104</v>
      </c>
      <c r="M244" s="17" t="s">
        <v>8</v>
      </c>
      <c r="N244" s="19">
        <v>45750</v>
      </c>
      <c r="O244" s="17" t="s">
        <v>132</v>
      </c>
      <c r="P244" s="17" t="s">
        <v>1235</v>
      </c>
      <c r="Q244" s="17" t="s">
        <v>1236</v>
      </c>
      <c r="R244" s="17" t="s">
        <v>99</v>
      </c>
      <c r="S244" s="17" t="s">
        <v>1096</v>
      </c>
      <c r="T244" s="19">
        <v>45752.58680555555</v>
      </c>
      <c r="U244" s="17" t="s">
        <v>1096</v>
      </c>
      <c r="V244" s="19">
        <v>45752.58680555555</v>
      </c>
    </row>
    <row r="245" spans="1:22">
      <c r="A245" s="17" t="s">
        <v>130</v>
      </c>
      <c r="B245" s="17" t="s">
        <v>144</v>
      </c>
      <c r="C245" s="17" t="s">
        <v>1237</v>
      </c>
      <c r="D245" s="17" t="s">
        <v>115</v>
      </c>
      <c r="E245" s="18">
        <v>340</v>
      </c>
      <c r="F245" s="17" t="s">
        <v>139</v>
      </c>
      <c r="G245" s="18">
        <v>0</v>
      </c>
      <c r="H245" s="18">
        <v>703</v>
      </c>
      <c r="I245" s="17" t="s">
        <v>1238</v>
      </c>
      <c r="J245" s="17" t="s">
        <v>65</v>
      </c>
      <c r="K245" s="17" t="s">
        <v>335</v>
      </c>
      <c r="L245" s="17" t="s">
        <v>105</v>
      </c>
      <c r="M245" s="17" t="s">
        <v>6</v>
      </c>
      <c r="N245" s="19">
        <v>45752.35416666666</v>
      </c>
      <c r="O245" s="17" t="s">
        <v>132</v>
      </c>
      <c r="P245" s="17" t="s">
        <v>1239</v>
      </c>
      <c r="Q245" s="17" t="s">
        <v>1240</v>
      </c>
      <c r="R245" s="17" t="s">
        <v>99</v>
      </c>
      <c r="S245" s="17" t="s">
        <v>1190</v>
      </c>
      <c r="T245" s="19">
        <v>45752.46111111111</v>
      </c>
      <c r="U245" s="17" t="s">
        <v>1190</v>
      </c>
      <c r="V245" s="19">
        <v>45752.46111111111</v>
      </c>
    </row>
    <row r="246" spans="1:22">
      <c r="A246" s="17" t="s">
        <v>129</v>
      </c>
      <c r="B246" s="17" t="s">
        <v>143</v>
      </c>
      <c r="C246" s="17" t="s">
        <v>1233</v>
      </c>
      <c r="D246" s="17" t="s">
        <v>115</v>
      </c>
      <c r="E246" s="18">
        <v>342</v>
      </c>
      <c r="F246" s="17" t="s">
        <v>139</v>
      </c>
      <c r="G246" s="18">
        <v>0</v>
      </c>
      <c r="H246" s="18">
        <v>698</v>
      </c>
      <c r="I246" s="17" t="s">
        <v>1241</v>
      </c>
      <c r="J246" s="17" t="s">
        <v>56</v>
      </c>
      <c r="K246" s="17" t="s">
        <v>475</v>
      </c>
      <c r="L246" s="17" t="s">
        <v>104</v>
      </c>
      <c r="M246" s="17" t="s">
        <v>18</v>
      </c>
      <c r="N246" s="19">
        <v>45750</v>
      </c>
      <c r="O246" s="17" t="s">
        <v>133</v>
      </c>
      <c r="P246" s="17" t="s">
        <v>1242</v>
      </c>
      <c r="Q246" s="17" t="s">
        <v>1243</v>
      </c>
      <c r="R246" s="17" t="s">
        <v>99</v>
      </c>
      <c r="S246" s="17" t="s">
        <v>1164</v>
      </c>
      <c r="T246" s="19">
        <v>45750.65416666667</v>
      </c>
      <c r="U246" s="17" t="s">
        <v>1164</v>
      </c>
      <c r="V246" s="19">
        <v>45750.65416666667</v>
      </c>
    </row>
    <row r="247" spans="1:22">
      <c r="A247" s="17" t="s">
        <v>129</v>
      </c>
      <c r="B247" s="17" t="s">
        <v>143</v>
      </c>
      <c r="C247" s="17" t="s">
        <v>1244</v>
      </c>
      <c r="D247" s="17" t="s">
        <v>115</v>
      </c>
      <c r="E247" s="18">
        <v>343</v>
      </c>
      <c r="F247" s="17" t="s">
        <v>139</v>
      </c>
      <c r="G247" s="18">
        <v>0</v>
      </c>
      <c r="H247" s="18">
        <v>696</v>
      </c>
      <c r="I247" s="17" t="s">
        <v>1245</v>
      </c>
      <c r="J247" s="17" t="s">
        <v>36</v>
      </c>
      <c r="K247" s="17" t="s">
        <v>360</v>
      </c>
      <c r="L247" s="17" t="s">
        <v>104</v>
      </c>
      <c r="M247" s="17" t="s">
        <v>11</v>
      </c>
      <c r="N247" s="19">
        <v>45749.45833333334</v>
      </c>
      <c r="O247" s="17" t="s">
        <v>133</v>
      </c>
      <c r="P247" s="17" t="s">
        <v>1246</v>
      </c>
      <c r="Q247" s="17" t="s">
        <v>1247</v>
      </c>
      <c r="R247" s="17" t="s">
        <v>99</v>
      </c>
      <c r="S247" s="17" t="s">
        <v>1122</v>
      </c>
      <c r="T247" s="19">
        <v>45750.59930555556</v>
      </c>
      <c r="U247" s="17" t="s">
        <v>1122</v>
      </c>
      <c r="V247" s="19">
        <v>45750.65069444444</v>
      </c>
    </row>
    <row r="248" spans="1:22">
      <c r="A248" s="17" t="s">
        <v>130</v>
      </c>
      <c r="B248" s="17" t="s">
        <v>144</v>
      </c>
      <c r="C248" s="17" t="s">
        <v>1248</v>
      </c>
      <c r="D248" s="17" t="s">
        <v>115</v>
      </c>
      <c r="E248" s="18">
        <v>344</v>
      </c>
      <c r="F248" s="17" t="s">
        <v>139</v>
      </c>
      <c r="G248" s="18">
        <v>0</v>
      </c>
      <c r="H248" s="18">
        <v>690</v>
      </c>
      <c r="I248" s="17" t="s">
        <v>1249</v>
      </c>
      <c r="J248" s="17" t="s">
        <v>65</v>
      </c>
      <c r="K248" s="17" t="s">
        <v>335</v>
      </c>
      <c r="L248" s="17" t="s">
        <v>17</v>
      </c>
      <c r="M248" s="17" t="s">
        <v>15</v>
      </c>
      <c r="N248" s="19">
        <v>45748.04861111111</v>
      </c>
      <c r="O248" s="17" t="s">
        <v>132</v>
      </c>
      <c r="P248" s="17" t="s">
        <v>1250</v>
      </c>
      <c r="Q248" s="17" t="s">
        <v>1251</v>
      </c>
      <c r="R248" s="17" t="s">
        <v>99</v>
      </c>
      <c r="S248" s="17" t="s">
        <v>1190</v>
      </c>
      <c r="T248" s="19">
        <v>45748.59097222222</v>
      </c>
      <c r="U248" s="17" t="s">
        <v>1190</v>
      </c>
      <c r="V248" s="19">
        <v>45748.61736111111</v>
      </c>
    </row>
    <row r="249" spans="1:22">
      <c r="A249" s="17" t="s">
        <v>129</v>
      </c>
      <c r="B249" s="17" t="s">
        <v>141</v>
      </c>
      <c r="C249" s="17" t="s">
        <v>1252</v>
      </c>
      <c r="D249" s="17" t="s">
        <v>114</v>
      </c>
      <c r="E249" s="18">
        <v>348</v>
      </c>
      <c r="F249" s="17" t="s">
        <v>139</v>
      </c>
      <c r="G249" s="18">
        <v>0</v>
      </c>
      <c r="H249" s="18">
        <v>689</v>
      </c>
      <c r="I249" s="17" t="s">
        <v>1253</v>
      </c>
      <c r="J249" s="17" t="s">
        <v>59</v>
      </c>
      <c r="K249" s="17" t="s">
        <v>240</v>
      </c>
      <c r="L249" s="17" t="s">
        <v>107</v>
      </c>
      <c r="M249" s="17"/>
      <c r="N249" s="19">
        <v>45744</v>
      </c>
      <c r="O249" s="17" t="s">
        <v>132</v>
      </c>
      <c r="P249" s="17" t="s">
        <v>1254</v>
      </c>
      <c r="Q249" s="17" t="s">
        <v>1255</v>
      </c>
      <c r="R249" s="17" t="s">
        <v>99</v>
      </c>
      <c r="S249" s="17" t="s">
        <v>1068</v>
      </c>
      <c r="T249" s="19">
        <v>45748.58333333334</v>
      </c>
      <c r="U249" s="17" t="s">
        <v>1068</v>
      </c>
      <c r="V249" s="19">
        <v>45748.58333333334</v>
      </c>
    </row>
    <row r="250" spans="1:22">
      <c r="A250" s="17" t="s">
        <v>130</v>
      </c>
      <c r="B250" s="17" t="s">
        <v>142</v>
      </c>
      <c r="C250" s="17" t="s">
        <v>1248</v>
      </c>
      <c r="D250" s="17" t="s">
        <v>115</v>
      </c>
      <c r="E250" s="18">
        <v>344</v>
      </c>
      <c r="F250" s="17" t="s">
        <v>139</v>
      </c>
      <c r="G250" s="18">
        <v>0</v>
      </c>
      <c r="H250" s="18">
        <v>688</v>
      </c>
      <c r="I250" s="17" t="s">
        <v>1256</v>
      </c>
      <c r="J250" s="17" t="s">
        <v>37</v>
      </c>
      <c r="K250" s="17" t="s">
        <v>484</v>
      </c>
      <c r="L250" s="17" t="s">
        <v>104</v>
      </c>
      <c r="M250" s="17" t="s">
        <v>22</v>
      </c>
      <c r="N250" s="19">
        <v>45748.5</v>
      </c>
      <c r="O250" s="17" t="s">
        <v>132</v>
      </c>
      <c r="P250" s="17" t="s">
        <v>1257</v>
      </c>
      <c r="Q250" s="17" t="s">
        <v>1258</v>
      </c>
      <c r="R250" s="17" t="s">
        <v>99</v>
      </c>
      <c r="S250" s="17" t="s">
        <v>1026</v>
      </c>
      <c r="T250" s="19">
        <v>45748.5125</v>
      </c>
      <c r="U250" s="17" t="s">
        <v>1026</v>
      </c>
      <c r="V250" s="19">
        <v>45748.52708333333</v>
      </c>
    </row>
    <row r="251" spans="1:22">
      <c r="A251" s="17" t="s">
        <v>130</v>
      </c>
      <c r="B251" s="17" t="s">
        <v>144</v>
      </c>
      <c r="C251" s="17" t="s">
        <v>1259</v>
      </c>
      <c r="D251" s="17" t="s">
        <v>114</v>
      </c>
      <c r="E251" s="18">
        <v>356</v>
      </c>
      <c r="F251" s="17" t="s">
        <v>139</v>
      </c>
      <c r="G251" s="18">
        <v>0</v>
      </c>
      <c r="H251" s="18">
        <v>653</v>
      </c>
      <c r="I251" s="17" t="s">
        <v>1260</v>
      </c>
      <c r="J251" s="17" t="s">
        <v>65</v>
      </c>
      <c r="K251" s="17" t="s">
        <v>335</v>
      </c>
      <c r="L251" s="17" t="s">
        <v>104</v>
      </c>
      <c r="M251" s="17" t="s">
        <v>22</v>
      </c>
      <c r="N251" s="19">
        <v>45736.375</v>
      </c>
      <c r="O251" s="17" t="s">
        <v>133</v>
      </c>
      <c r="P251" s="17" t="s">
        <v>1261</v>
      </c>
      <c r="Q251" s="17" t="s">
        <v>1262</v>
      </c>
      <c r="R251" s="17" t="s">
        <v>99</v>
      </c>
      <c r="S251" s="17" t="s">
        <v>1190</v>
      </c>
      <c r="T251" s="19">
        <v>45736.41458333333</v>
      </c>
      <c r="U251" s="17" t="s">
        <v>1190</v>
      </c>
      <c r="V251" s="19">
        <v>45736.41458333333</v>
      </c>
    </row>
    <row r="252" spans="1:22">
      <c r="A252" s="17" t="s">
        <v>129</v>
      </c>
      <c r="B252" s="17" t="s">
        <v>147</v>
      </c>
      <c r="C252" s="17" t="s">
        <v>1263</v>
      </c>
      <c r="D252" s="17" t="s">
        <v>114</v>
      </c>
      <c r="E252" s="18">
        <v>358</v>
      </c>
      <c r="F252" s="17" t="s">
        <v>139</v>
      </c>
      <c r="G252" s="18">
        <v>0</v>
      </c>
      <c r="H252" s="18">
        <v>651</v>
      </c>
      <c r="I252" s="17" t="s">
        <v>1264</v>
      </c>
      <c r="J252" s="17" t="s">
        <v>48</v>
      </c>
      <c r="K252" s="17" t="s">
        <v>697</v>
      </c>
      <c r="L252" s="17" t="s">
        <v>104</v>
      </c>
      <c r="M252" s="17" t="s">
        <v>8</v>
      </c>
      <c r="N252" s="19">
        <v>45734</v>
      </c>
      <c r="O252" s="17" t="s">
        <v>133</v>
      </c>
      <c r="P252" s="17" t="s">
        <v>1265</v>
      </c>
      <c r="Q252" s="17" t="s">
        <v>1266</v>
      </c>
      <c r="R252" s="17" t="s">
        <v>99</v>
      </c>
      <c r="S252" s="17" t="s">
        <v>1096</v>
      </c>
      <c r="T252" s="19">
        <v>45735.74305555555</v>
      </c>
      <c r="U252" s="17" t="s">
        <v>1096</v>
      </c>
      <c r="V252" s="19">
        <v>45735.74305555555</v>
      </c>
    </row>
    <row r="253" spans="1:22">
      <c r="A253" s="17" t="s">
        <v>129</v>
      </c>
      <c r="B253" s="17" t="s">
        <v>146</v>
      </c>
      <c r="C253" s="17" t="s">
        <v>1263</v>
      </c>
      <c r="D253" s="17" t="s">
        <v>114</v>
      </c>
      <c r="E253" s="18">
        <v>358</v>
      </c>
      <c r="F253" s="17" t="s">
        <v>139</v>
      </c>
      <c r="G253" s="18">
        <v>0</v>
      </c>
      <c r="H253" s="18">
        <v>645</v>
      </c>
      <c r="I253" s="17" t="s">
        <v>1267</v>
      </c>
      <c r="J253" s="17" t="s">
        <v>68</v>
      </c>
      <c r="K253" s="17" t="s">
        <v>288</v>
      </c>
      <c r="L253" s="17" t="s">
        <v>104</v>
      </c>
      <c r="M253" s="17" t="s">
        <v>8</v>
      </c>
      <c r="N253" s="19">
        <v>45734</v>
      </c>
      <c r="O253" s="17" t="s">
        <v>133</v>
      </c>
      <c r="P253" s="17" t="s">
        <v>1268</v>
      </c>
      <c r="Q253" s="17" t="s">
        <v>1269</v>
      </c>
      <c r="R253" s="17" t="s">
        <v>99</v>
      </c>
      <c r="S253" s="17" t="s">
        <v>1270</v>
      </c>
      <c r="T253" s="19">
        <v>45735.50833333333</v>
      </c>
      <c r="U253" s="17" t="s">
        <v>1270</v>
      </c>
      <c r="V253" s="19">
        <v>45735.50833333333</v>
      </c>
    </row>
    <row r="254" spans="1:22">
      <c r="A254" s="17" t="s">
        <v>130</v>
      </c>
      <c r="B254" s="17" t="s">
        <v>144</v>
      </c>
      <c r="C254" s="17" t="s">
        <v>1263</v>
      </c>
      <c r="D254" s="17" t="s">
        <v>114</v>
      </c>
      <c r="E254" s="18">
        <v>358</v>
      </c>
      <c r="F254" s="17" t="s">
        <v>139</v>
      </c>
      <c r="G254" s="18">
        <v>0</v>
      </c>
      <c r="H254" s="18">
        <v>642</v>
      </c>
      <c r="I254" s="17" t="s">
        <v>1271</v>
      </c>
      <c r="J254" s="17" t="s">
        <v>65</v>
      </c>
      <c r="K254" s="17" t="s">
        <v>335</v>
      </c>
      <c r="L254" s="17" t="s">
        <v>104</v>
      </c>
      <c r="M254" s="17" t="s">
        <v>20</v>
      </c>
      <c r="N254" s="19">
        <v>45734.74305555555</v>
      </c>
      <c r="O254" s="17" t="s">
        <v>133</v>
      </c>
      <c r="P254" s="17" t="s">
        <v>1272</v>
      </c>
      <c r="Q254" s="17" t="s">
        <v>1273</v>
      </c>
      <c r="R254" s="17" t="s">
        <v>99</v>
      </c>
      <c r="S254" s="17" t="s">
        <v>1190</v>
      </c>
      <c r="T254" s="19">
        <v>45734.82638888889</v>
      </c>
      <c r="U254" s="17" t="s">
        <v>1190</v>
      </c>
      <c r="V254" s="19">
        <v>45743.74444444444</v>
      </c>
    </row>
    <row r="255" spans="1:22">
      <c r="A255" s="17" t="s">
        <v>129</v>
      </c>
      <c r="B255" s="17" t="s">
        <v>141</v>
      </c>
      <c r="C255" s="17" t="s">
        <v>1274</v>
      </c>
      <c r="D255" s="17" t="s">
        <v>114</v>
      </c>
      <c r="E255" s="18">
        <v>359</v>
      </c>
      <c r="F255" s="17" t="s">
        <v>139</v>
      </c>
      <c r="G255" s="18">
        <v>0</v>
      </c>
      <c r="H255" s="18">
        <v>636</v>
      </c>
      <c r="I255" s="17" t="s">
        <v>1275</v>
      </c>
      <c r="J255" s="17" t="s">
        <v>62</v>
      </c>
      <c r="K255" s="17" t="s">
        <v>395</v>
      </c>
      <c r="L255" s="17" t="s">
        <v>104</v>
      </c>
      <c r="M255" s="17" t="s">
        <v>11</v>
      </c>
      <c r="N255" s="19">
        <v>45733.64583333334</v>
      </c>
      <c r="O255" s="17" t="s">
        <v>133</v>
      </c>
      <c r="P255" s="17" t="s">
        <v>1276</v>
      </c>
      <c r="Q255" s="17" t="s">
        <v>1277</v>
      </c>
      <c r="R255" s="17" t="s">
        <v>99</v>
      </c>
      <c r="S255" s="17" t="s">
        <v>1278</v>
      </c>
      <c r="T255" s="19">
        <v>45733.67569444444</v>
      </c>
      <c r="U255" s="17" t="s">
        <v>1278</v>
      </c>
      <c r="V255" s="19">
        <v>45733.67569444444</v>
      </c>
    </row>
    <row r="256" spans="1:22">
      <c r="A256" s="17" t="s">
        <v>129</v>
      </c>
      <c r="B256" s="17" t="s">
        <v>143</v>
      </c>
      <c r="C256" s="17" t="s">
        <v>1274</v>
      </c>
      <c r="D256" s="17" t="s">
        <v>114</v>
      </c>
      <c r="E256" s="18">
        <v>359</v>
      </c>
      <c r="F256" s="17" t="s">
        <v>139</v>
      </c>
      <c r="G256" s="18">
        <v>0</v>
      </c>
      <c r="H256" s="18">
        <v>633</v>
      </c>
      <c r="I256" s="17" t="s">
        <v>1279</v>
      </c>
      <c r="J256" s="17" t="s">
        <v>29</v>
      </c>
      <c r="K256" s="17" t="s">
        <v>662</v>
      </c>
      <c r="L256" s="17" t="s">
        <v>104</v>
      </c>
      <c r="M256" s="17" t="s">
        <v>4</v>
      </c>
      <c r="N256" s="19">
        <v>45733.45138888889</v>
      </c>
      <c r="O256" s="17" t="s">
        <v>133</v>
      </c>
      <c r="P256" s="17" t="s">
        <v>1280</v>
      </c>
      <c r="Q256" s="17" t="s">
        <v>1281</v>
      </c>
      <c r="R256" s="17" t="s">
        <v>99</v>
      </c>
      <c r="S256" s="17" t="s">
        <v>1278</v>
      </c>
      <c r="T256" s="19">
        <v>45733.53333333333</v>
      </c>
      <c r="U256" s="17" t="s">
        <v>1278</v>
      </c>
      <c r="V256" s="19">
        <v>45733.53333333333</v>
      </c>
    </row>
    <row r="257" spans="1:22">
      <c r="A257" s="17" t="s">
        <v>130</v>
      </c>
      <c r="B257" s="17" t="s">
        <v>142</v>
      </c>
      <c r="C257" s="17" t="s">
        <v>1282</v>
      </c>
      <c r="D257" s="17" t="s">
        <v>114</v>
      </c>
      <c r="E257" s="18">
        <v>362</v>
      </c>
      <c r="F257" s="17" t="s">
        <v>139</v>
      </c>
      <c r="G257" s="18">
        <v>0</v>
      </c>
      <c r="H257" s="18">
        <v>625</v>
      </c>
      <c r="I257" s="17" t="s">
        <v>1283</v>
      </c>
      <c r="J257" s="17" t="s">
        <v>62</v>
      </c>
      <c r="K257" s="17" t="s">
        <v>404</v>
      </c>
      <c r="L257" s="17" t="s">
        <v>104</v>
      </c>
      <c r="M257" s="17" t="s">
        <v>18</v>
      </c>
      <c r="N257" s="19">
        <v>45730.33333333334</v>
      </c>
      <c r="O257" s="17" t="s">
        <v>133</v>
      </c>
      <c r="P257" s="17" t="s">
        <v>1284</v>
      </c>
      <c r="Q257" s="17" t="s">
        <v>1285</v>
      </c>
      <c r="R257" s="17" t="s">
        <v>99</v>
      </c>
      <c r="S257" s="17" t="s">
        <v>1278</v>
      </c>
      <c r="T257" s="19">
        <v>45730.475</v>
      </c>
      <c r="U257" s="17" t="s">
        <v>1278</v>
      </c>
      <c r="V257" s="19">
        <v>45743.74861111111</v>
      </c>
    </row>
    <row r="258" spans="1:22">
      <c r="A258" s="17" t="s">
        <v>129</v>
      </c>
      <c r="B258" s="17" t="s">
        <v>143</v>
      </c>
      <c r="C258" s="17" t="s">
        <v>1286</v>
      </c>
      <c r="D258" s="17" t="s">
        <v>114</v>
      </c>
      <c r="E258" s="18">
        <v>364</v>
      </c>
      <c r="F258" s="17" t="s">
        <v>139</v>
      </c>
      <c r="G258" s="18">
        <v>0</v>
      </c>
      <c r="H258" s="18">
        <v>618</v>
      </c>
      <c r="I258" s="17" t="s">
        <v>1287</v>
      </c>
      <c r="J258" s="17" t="s">
        <v>29</v>
      </c>
      <c r="K258" s="17" t="s">
        <v>662</v>
      </c>
      <c r="L258" s="17" t="s">
        <v>104</v>
      </c>
      <c r="M258" s="17" t="s">
        <v>22</v>
      </c>
      <c r="N258" s="19">
        <v>45728.75</v>
      </c>
      <c r="O258" s="17" t="s">
        <v>133</v>
      </c>
      <c r="P258" s="17" t="s">
        <v>1288</v>
      </c>
      <c r="Q258" s="17" t="s">
        <v>1289</v>
      </c>
      <c r="R258" s="17" t="s">
        <v>99</v>
      </c>
      <c r="S258" s="17" t="s">
        <v>1278</v>
      </c>
      <c r="T258" s="19">
        <v>45728.78194444445</v>
      </c>
      <c r="U258" s="17" t="s">
        <v>1278</v>
      </c>
      <c r="V258" s="19">
        <v>45728.78194444445</v>
      </c>
    </row>
    <row r="259" spans="1:22">
      <c r="A259" s="17" t="s">
        <v>130</v>
      </c>
      <c r="B259" s="17" t="s">
        <v>142</v>
      </c>
      <c r="C259" s="17" t="s">
        <v>1286</v>
      </c>
      <c r="D259" s="17" t="s">
        <v>114</v>
      </c>
      <c r="E259" s="18">
        <v>364</v>
      </c>
      <c r="F259" s="17" t="s">
        <v>139</v>
      </c>
      <c r="G259" s="18">
        <v>0</v>
      </c>
      <c r="H259" s="18">
        <v>616</v>
      </c>
      <c r="I259" s="17" t="s">
        <v>1290</v>
      </c>
      <c r="J259" s="17" t="s">
        <v>40</v>
      </c>
      <c r="K259" s="17" t="s">
        <v>500</v>
      </c>
      <c r="L259" s="17" t="s">
        <v>104</v>
      </c>
      <c r="M259" s="17" t="s">
        <v>8</v>
      </c>
      <c r="N259" s="19">
        <v>45728.51388888889</v>
      </c>
      <c r="O259" s="17" t="s">
        <v>132</v>
      </c>
      <c r="P259" s="17" t="s">
        <v>1291</v>
      </c>
      <c r="Q259" s="17" t="s">
        <v>1292</v>
      </c>
      <c r="R259" s="17" t="s">
        <v>99</v>
      </c>
      <c r="S259" s="17" t="s">
        <v>1278</v>
      </c>
      <c r="T259" s="19">
        <v>45728.7375</v>
      </c>
      <c r="U259" s="17" t="s">
        <v>1278</v>
      </c>
      <c r="V259" s="19">
        <v>45743.50625</v>
      </c>
    </row>
    <row r="260" spans="1:22">
      <c r="A260" s="17" t="s">
        <v>129</v>
      </c>
      <c r="B260" s="17" t="s">
        <v>141</v>
      </c>
      <c r="C260" s="17" t="s">
        <v>1293</v>
      </c>
      <c r="D260" s="17" t="s">
        <v>114</v>
      </c>
      <c r="E260" s="18">
        <v>366</v>
      </c>
      <c r="F260" s="17" t="s">
        <v>139</v>
      </c>
      <c r="G260" s="18">
        <v>0</v>
      </c>
      <c r="H260" s="18">
        <v>604</v>
      </c>
      <c r="I260" s="17" t="s">
        <v>1294</v>
      </c>
      <c r="J260" s="17" t="s">
        <v>62</v>
      </c>
      <c r="K260" s="17" t="s">
        <v>352</v>
      </c>
      <c r="L260" s="17" t="s">
        <v>104</v>
      </c>
      <c r="M260" s="17" t="s">
        <v>8</v>
      </c>
      <c r="N260" s="19">
        <v>45726.47916666666</v>
      </c>
      <c r="O260" s="17" t="s">
        <v>133</v>
      </c>
      <c r="P260" s="17" t="s">
        <v>1295</v>
      </c>
      <c r="Q260" s="17" t="s">
        <v>1296</v>
      </c>
      <c r="R260" s="17" t="s">
        <v>99</v>
      </c>
      <c r="S260" s="17" t="s">
        <v>1278</v>
      </c>
      <c r="T260" s="19">
        <v>45726.51736111111</v>
      </c>
      <c r="U260" s="17" t="s">
        <v>1278</v>
      </c>
      <c r="V260" s="19">
        <v>45726.51736111111</v>
      </c>
    </row>
    <row r="261" spans="1:22">
      <c r="A261" s="17" t="s">
        <v>129</v>
      </c>
      <c r="B261" s="17" t="s">
        <v>141</v>
      </c>
      <c r="C261" s="17" t="s">
        <v>1293</v>
      </c>
      <c r="D261" s="17" t="s">
        <v>114</v>
      </c>
      <c r="E261" s="18">
        <v>366</v>
      </c>
      <c r="F261" s="17" t="s">
        <v>139</v>
      </c>
      <c r="G261" s="18">
        <v>0</v>
      </c>
      <c r="H261" s="18">
        <v>602</v>
      </c>
      <c r="I261" s="17" t="s">
        <v>1297</v>
      </c>
      <c r="J261" s="17" t="s">
        <v>62</v>
      </c>
      <c r="K261" s="17" t="s">
        <v>352</v>
      </c>
      <c r="L261" s="17" t="s">
        <v>104</v>
      </c>
      <c r="M261" s="17" t="s">
        <v>8</v>
      </c>
      <c r="N261" s="19">
        <v>45726.41666666666</v>
      </c>
      <c r="O261" s="17" t="s">
        <v>133</v>
      </c>
      <c r="P261" s="17" t="s">
        <v>1298</v>
      </c>
      <c r="Q261" s="17" t="s">
        <v>1299</v>
      </c>
      <c r="R261" s="17" t="s">
        <v>99</v>
      </c>
      <c r="S261" s="17" t="s">
        <v>1278</v>
      </c>
      <c r="T261" s="19">
        <v>45726.47152777778</v>
      </c>
      <c r="U261" s="17" t="s">
        <v>1278</v>
      </c>
      <c r="V261" s="19">
        <v>45726.47152777778</v>
      </c>
    </row>
    <row r="262" spans="1:22">
      <c r="A262" s="17" t="s">
        <v>129</v>
      </c>
      <c r="B262" s="17" t="s">
        <v>141</v>
      </c>
      <c r="C262" s="17" t="s">
        <v>1293</v>
      </c>
      <c r="D262" s="17" t="s">
        <v>114</v>
      </c>
      <c r="E262" s="18">
        <v>366</v>
      </c>
      <c r="F262" s="17" t="s">
        <v>139</v>
      </c>
      <c r="G262" s="18">
        <v>0</v>
      </c>
      <c r="H262" s="18">
        <v>601</v>
      </c>
      <c r="I262" s="17" t="s">
        <v>1300</v>
      </c>
      <c r="J262" s="17" t="s">
        <v>62</v>
      </c>
      <c r="K262" s="17" t="s">
        <v>352</v>
      </c>
      <c r="L262" s="17" t="s">
        <v>105</v>
      </c>
      <c r="M262" s="17" t="s">
        <v>6</v>
      </c>
      <c r="N262" s="19">
        <v>45726</v>
      </c>
      <c r="O262" s="17" t="s">
        <v>133</v>
      </c>
      <c r="P262" s="17" t="s">
        <v>1301</v>
      </c>
      <c r="Q262" s="17" t="s">
        <v>1302</v>
      </c>
      <c r="R262" s="17" t="s">
        <v>99</v>
      </c>
      <c r="S262" s="17" t="s">
        <v>1013</v>
      </c>
      <c r="T262" s="19">
        <v>45726.44027777778</v>
      </c>
      <c r="U262" s="17" t="s">
        <v>1013</v>
      </c>
      <c r="V262" s="19">
        <v>45726.44027777778</v>
      </c>
    </row>
    <row r="263" spans="1:22">
      <c r="A263" s="17" t="s">
        <v>130</v>
      </c>
      <c r="B263" s="17" t="s">
        <v>144</v>
      </c>
      <c r="C263" s="17" t="s">
        <v>1303</v>
      </c>
      <c r="D263" s="17" t="s">
        <v>113</v>
      </c>
      <c r="E263" s="18">
        <v>378</v>
      </c>
      <c r="F263" s="17" t="s">
        <v>139</v>
      </c>
      <c r="G263" s="18">
        <v>0</v>
      </c>
      <c r="H263" s="18">
        <v>593</v>
      </c>
      <c r="I263" s="17" t="s">
        <v>1304</v>
      </c>
      <c r="J263" s="17" t="s">
        <v>65</v>
      </c>
      <c r="K263" s="17" t="s">
        <v>335</v>
      </c>
      <c r="L263" s="17" t="s">
        <v>105</v>
      </c>
      <c r="M263" s="17" t="s">
        <v>6</v>
      </c>
      <c r="N263" s="19">
        <v>45714.64583333334</v>
      </c>
      <c r="O263" s="17" t="s">
        <v>132</v>
      </c>
      <c r="P263" s="17" t="s">
        <v>1305</v>
      </c>
      <c r="Q263" s="17" t="s">
        <v>1306</v>
      </c>
      <c r="R263" s="17" t="s">
        <v>99</v>
      </c>
      <c r="S263" s="17" t="s">
        <v>1278</v>
      </c>
      <c r="T263" s="19">
        <v>45722.78819444445</v>
      </c>
      <c r="U263" s="17" t="s">
        <v>1278</v>
      </c>
      <c r="V263" s="19">
        <v>45722.78819444445</v>
      </c>
    </row>
    <row r="264" spans="1:22">
      <c r="A264" s="17" t="s">
        <v>129</v>
      </c>
      <c r="B264" s="17" t="s">
        <v>141</v>
      </c>
      <c r="C264" s="17" t="s">
        <v>1307</v>
      </c>
      <c r="D264" s="17" t="s">
        <v>114</v>
      </c>
      <c r="E264" s="18">
        <v>370</v>
      </c>
      <c r="F264" s="17" t="s">
        <v>139</v>
      </c>
      <c r="G264" s="18">
        <v>0</v>
      </c>
      <c r="H264" s="18">
        <v>591</v>
      </c>
      <c r="I264" s="17" t="s">
        <v>1308</v>
      </c>
      <c r="J264" s="17" t="s">
        <v>62</v>
      </c>
      <c r="K264" s="17" t="s">
        <v>352</v>
      </c>
      <c r="L264" s="17" t="s">
        <v>104</v>
      </c>
      <c r="M264" s="17" t="s">
        <v>8</v>
      </c>
      <c r="N264" s="19">
        <v>45722.73611111111</v>
      </c>
      <c r="O264" s="17" t="s">
        <v>132</v>
      </c>
      <c r="P264" s="17" t="s">
        <v>1309</v>
      </c>
      <c r="Q264" s="17" t="s">
        <v>1310</v>
      </c>
      <c r="R264" s="17" t="s">
        <v>99</v>
      </c>
      <c r="S264" s="17" t="s">
        <v>1278</v>
      </c>
      <c r="T264" s="19">
        <v>45722.75625</v>
      </c>
      <c r="U264" s="17" t="s">
        <v>1278</v>
      </c>
      <c r="V264" s="19">
        <v>45722.75625</v>
      </c>
    </row>
    <row r="265" spans="1:22">
      <c r="A265" s="17" t="s">
        <v>129</v>
      </c>
      <c r="B265" s="17" t="s">
        <v>141</v>
      </c>
      <c r="C265" s="17" t="s">
        <v>1303</v>
      </c>
      <c r="D265" s="17" t="s">
        <v>113</v>
      </c>
      <c r="E265" s="18">
        <v>378</v>
      </c>
      <c r="F265" s="17" t="s">
        <v>139</v>
      </c>
      <c r="G265" s="18">
        <v>0</v>
      </c>
      <c r="H265" s="18">
        <v>590</v>
      </c>
      <c r="I265" s="17" t="s">
        <v>1311</v>
      </c>
      <c r="J265" s="17" t="s">
        <v>62</v>
      </c>
      <c r="K265" s="17" t="s">
        <v>352</v>
      </c>
      <c r="L265" s="17" t="s">
        <v>106</v>
      </c>
      <c r="M265" s="17" t="s">
        <v>10</v>
      </c>
      <c r="N265" s="19">
        <v>45714.63888888889</v>
      </c>
      <c r="O265" s="17" t="s">
        <v>132</v>
      </c>
      <c r="P265" s="17" t="s">
        <v>1312</v>
      </c>
      <c r="Q265" s="17" t="s">
        <v>1313</v>
      </c>
      <c r="R265" s="17" t="s">
        <v>99</v>
      </c>
      <c r="S265" s="17" t="s">
        <v>1278</v>
      </c>
      <c r="T265" s="19">
        <v>45722.60416666666</v>
      </c>
      <c r="U265" s="17" t="s">
        <v>1278</v>
      </c>
      <c r="V265" s="19">
        <v>45722.60416666666</v>
      </c>
    </row>
    <row r="266" spans="1:22">
      <c r="A266" s="17" t="s">
        <v>129</v>
      </c>
      <c r="B266" s="17" t="s">
        <v>143</v>
      </c>
      <c r="C266" s="17" t="s">
        <v>1307</v>
      </c>
      <c r="D266" s="17" t="s">
        <v>114</v>
      </c>
      <c r="E266" s="18">
        <v>370</v>
      </c>
      <c r="F266" s="17" t="s">
        <v>139</v>
      </c>
      <c r="G266" s="18">
        <v>0</v>
      </c>
      <c r="H266" s="18">
        <v>586</v>
      </c>
      <c r="I266" s="17" t="s">
        <v>1314</v>
      </c>
      <c r="J266" s="17" t="s">
        <v>62</v>
      </c>
      <c r="K266" s="17" t="s">
        <v>360</v>
      </c>
      <c r="L266" s="17" t="s">
        <v>106</v>
      </c>
      <c r="M266" s="17" t="s">
        <v>10</v>
      </c>
      <c r="N266" s="19">
        <v>45722</v>
      </c>
      <c r="O266" s="17" t="s">
        <v>132</v>
      </c>
      <c r="P266" s="17" t="s">
        <v>1315</v>
      </c>
      <c r="Q266" s="17" t="s">
        <v>1316</v>
      </c>
      <c r="R266" s="17" t="s">
        <v>99</v>
      </c>
      <c r="S266" s="17" t="s">
        <v>1164</v>
      </c>
      <c r="T266" s="19">
        <v>45722.50347222222</v>
      </c>
      <c r="U266" s="17" t="s">
        <v>1164</v>
      </c>
      <c r="V266" s="19">
        <v>45722.50347222222</v>
      </c>
    </row>
    <row r="267" spans="1:22">
      <c r="A267" s="17" t="s">
        <v>129</v>
      </c>
      <c r="B267" s="17" t="s">
        <v>143</v>
      </c>
      <c r="C267" s="17" t="s">
        <v>1317</v>
      </c>
      <c r="D267" s="17" t="s">
        <v>114</v>
      </c>
      <c r="E267" s="18">
        <v>371</v>
      </c>
      <c r="F267" s="17" t="s">
        <v>139</v>
      </c>
      <c r="G267" s="18">
        <v>0</v>
      </c>
      <c r="H267" s="18">
        <v>583</v>
      </c>
      <c r="I267" s="17" t="s">
        <v>1318</v>
      </c>
      <c r="J267" s="17" t="s">
        <v>56</v>
      </c>
      <c r="K267" s="17" t="s">
        <v>360</v>
      </c>
      <c r="L267" s="17" t="s">
        <v>104</v>
      </c>
      <c r="M267" s="17" t="s">
        <v>8</v>
      </c>
      <c r="N267" s="19">
        <v>45721.45833333334</v>
      </c>
      <c r="O267" s="17" t="s">
        <v>132</v>
      </c>
      <c r="P267" s="17" t="s">
        <v>1319</v>
      </c>
      <c r="Q267" s="17" t="s">
        <v>1320</v>
      </c>
      <c r="R267" s="17" t="s">
        <v>99</v>
      </c>
      <c r="S267" s="17" t="s">
        <v>1278</v>
      </c>
      <c r="T267" s="19">
        <v>45721.48472222222</v>
      </c>
      <c r="U267" s="17" t="s">
        <v>1278</v>
      </c>
      <c r="V267" s="19">
        <v>45722.76944444444</v>
      </c>
    </row>
    <row r="268" spans="1:22">
      <c r="A268" s="17" t="s">
        <v>129</v>
      </c>
      <c r="B268" s="17" t="s">
        <v>141</v>
      </c>
      <c r="C268" s="17" t="s">
        <v>1321</v>
      </c>
      <c r="D268" s="17" t="s">
        <v>113</v>
      </c>
      <c r="E268" s="18">
        <v>377</v>
      </c>
      <c r="F268" s="17" t="s">
        <v>139</v>
      </c>
      <c r="G268" s="18">
        <v>0</v>
      </c>
      <c r="H268" s="18">
        <v>555</v>
      </c>
      <c r="I268" s="17" t="s">
        <v>1322</v>
      </c>
      <c r="J268" s="17" t="s">
        <v>62</v>
      </c>
      <c r="K268" s="17" t="s">
        <v>395</v>
      </c>
      <c r="L268" s="17" t="s">
        <v>105</v>
      </c>
      <c r="M268" s="17" t="s">
        <v>6</v>
      </c>
      <c r="N268" s="19">
        <v>45715.52777777778</v>
      </c>
      <c r="O268" s="17" t="s">
        <v>132</v>
      </c>
      <c r="P268" s="17" t="s">
        <v>1323</v>
      </c>
      <c r="Q268" s="17" t="s">
        <v>1324</v>
      </c>
      <c r="R268" s="17" t="s">
        <v>99</v>
      </c>
      <c r="S268" s="17" t="s">
        <v>1278</v>
      </c>
      <c r="T268" s="19">
        <v>45715.64097222222</v>
      </c>
      <c r="U268" s="17" t="s">
        <v>1278</v>
      </c>
      <c r="V268" s="19">
        <v>45715.64097222222</v>
      </c>
    </row>
    <row r="269" spans="1:22">
      <c r="A269" s="17" t="s">
        <v>129</v>
      </c>
      <c r="B269" s="17" t="s">
        <v>143</v>
      </c>
      <c r="C269" s="17" t="s">
        <v>1321</v>
      </c>
      <c r="D269" s="17" t="s">
        <v>113</v>
      </c>
      <c r="E269" s="18">
        <v>377</v>
      </c>
      <c r="F269" s="17" t="s">
        <v>139</v>
      </c>
      <c r="G269" s="18">
        <v>0</v>
      </c>
      <c r="H269" s="18">
        <v>554</v>
      </c>
      <c r="I269" s="17" t="s">
        <v>1325</v>
      </c>
      <c r="J269" s="17" t="s">
        <v>62</v>
      </c>
      <c r="K269" s="17" t="s">
        <v>475</v>
      </c>
      <c r="L269" s="17" t="s">
        <v>105</v>
      </c>
      <c r="M269" s="17" t="s">
        <v>23</v>
      </c>
      <c r="N269" s="19">
        <v>45715.40277777778</v>
      </c>
      <c r="O269" s="17" t="s">
        <v>132</v>
      </c>
      <c r="P269" s="17" t="s">
        <v>1326</v>
      </c>
      <c r="Q269" s="17" t="s">
        <v>1327</v>
      </c>
      <c r="R269" s="17" t="s">
        <v>99</v>
      </c>
      <c r="S269" s="17" t="s">
        <v>1328</v>
      </c>
      <c r="T269" s="19">
        <v>45715.51805555556</v>
      </c>
      <c r="U269" s="17" t="s">
        <v>1328</v>
      </c>
      <c r="V269" s="19">
        <v>45716.56319444445</v>
      </c>
    </row>
    <row r="270" spans="1:22">
      <c r="A270" s="17" t="s">
        <v>130</v>
      </c>
      <c r="B270" s="17" t="s">
        <v>144</v>
      </c>
      <c r="C270" s="17" t="s">
        <v>1303</v>
      </c>
      <c r="D270" s="17" t="s">
        <v>113</v>
      </c>
      <c r="E270" s="18">
        <v>378</v>
      </c>
      <c r="F270" s="17" t="s">
        <v>139</v>
      </c>
      <c r="G270" s="18">
        <v>0</v>
      </c>
      <c r="H270" s="18">
        <v>553</v>
      </c>
      <c r="I270" s="17" t="s">
        <v>1329</v>
      </c>
      <c r="J270" s="17" t="s">
        <v>62</v>
      </c>
      <c r="K270" s="17" t="s">
        <v>335</v>
      </c>
      <c r="L270" s="17" t="s">
        <v>105</v>
      </c>
      <c r="M270" s="17" t="s">
        <v>6</v>
      </c>
      <c r="N270" s="19">
        <v>45714.64583333334</v>
      </c>
      <c r="O270" s="17" t="s">
        <v>132</v>
      </c>
      <c r="P270" s="17" t="s">
        <v>1330</v>
      </c>
      <c r="Q270" s="17" t="s">
        <v>1331</v>
      </c>
      <c r="R270" s="17" t="s">
        <v>99</v>
      </c>
      <c r="S270" s="17" t="s">
        <v>1278</v>
      </c>
      <c r="T270" s="19">
        <v>45715.20347222222</v>
      </c>
      <c r="U270" s="17" t="s">
        <v>1278</v>
      </c>
      <c r="V270" s="19">
        <v>45715.20347222222</v>
      </c>
    </row>
    <row r="271" spans="1:22">
      <c r="A271" s="17" t="s">
        <v>130</v>
      </c>
      <c r="B271" s="17" t="s">
        <v>144</v>
      </c>
      <c r="C271" s="17" t="s">
        <v>1303</v>
      </c>
      <c r="D271" s="17" t="s">
        <v>113</v>
      </c>
      <c r="E271" s="18">
        <v>378</v>
      </c>
      <c r="F271" s="17" t="s">
        <v>139</v>
      </c>
      <c r="G271" s="18">
        <v>0</v>
      </c>
      <c r="H271" s="18">
        <v>549</v>
      </c>
      <c r="I271" s="17" t="s">
        <v>1332</v>
      </c>
      <c r="J271" s="17" t="s">
        <v>62</v>
      </c>
      <c r="K271" s="17" t="s">
        <v>335</v>
      </c>
      <c r="L271" s="17" t="s">
        <v>104</v>
      </c>
      <c r="M271" s="17" t="s">
        <v>8</v>
      </c>
      <c r="N271" s="19">
        <v>45714.24305555555</v>
      </c>
      <c r="O271" s="17" t="s">
        <v>132</v>
      </c>
      <c r="P271" s="17" t="s">
        <v>1333</v>
      </c>
      <c r="Q271" s="17" t="s">
        <v>1334</v>
      </c>
      <c r="R271" s="17" t="s">
        <v>99</v>
      </c>
      <c r="S271" s="17" t="s">
        <v>1278</v>
      </c>
      <c r="T271" s="19">
        <v>45715.18333333333</v>
      </c>
      <c r="U271" s="17" t="s">
        <v>1278</v>
      </c>
      <c r="V271" s="19">
        <v>45743.75416666667</v>
      </c>
    </row>
    <row r="272" spans="1:22">
      <c r="A272" s="17" t="s">
        <v>129</v>
      </c>
      <c r="B272" s="17" t="s">
        <v>141</v>
      </c>
      <c r="C272" s="17" t="s">
        <v>1303</v>
      </c>
      <c r="D272" s="17" t="s">
        <v>113</v>
      </c>
      <c r="E272" s="18">
        <v>378</v>
      </c>
      <c r="F272" s="17" t="s">
        <v>139</v>
      </c>
      <c r="G272" s="18">
        <v>0</v>
      </c>
      <c r="H272" s="18">
        <v>545</v>
      </c>
      <c r="I272" s="17" t="s">
        <v>1335</v>
      </c>
      <c r="J272" s="17" t="s">
        <v>62</v>
      </c>
      <c r="K272" s="17" t="s">
        <v>352</v>
      </c>
      <c r="L272" s="17" t="s">
        <v>104</v>
      </c>
      <c r="M272" s="17" t="s">
        <v>8</v>
      </c>
      <c r="N272" s="19">
        <v>45714.625</v>
      </c>
      <c r="O272" s="17" t="s">
        <v>133</v>
      </c>
      <c r="P272" s="17" t="s">
        <v>1336</v>
      </c>
      <c r="Q272" s="17" t="s">
        <v>1337</v>
      </c>
      <c r="R272" s="17" t="s">
        <v>99</v>
      </c>
      <c r="S272" s="17" t="s">
        <v>1278</v>
      </c>
      <c r="T272" s="19">
        <v>45714.67916666667</v>
      </c>
      <c r="U272" s="17" t="s">
        <v>1278</v>
      </c>
      <c r="V272" s="19">
        <v>45714.67916666667</v>
      </c>
    </row>
    <row r="273" spans="1:22">
      <c r="A273" s="17" t="s">
        <v>129</v>
      </c>
      <c r="B273" s="17" t="s">
        <v>141</v>
      </c>
      <c r="C273" s="17" t="s">
        <v>1338</v>
      </c>
      <c r="D273" s="17" t="s">
        <v>113</v>
      </c>
      <c r="E273" s="18">
        <v>383</v>
      </c>
      <c r="F273" s="17" t="s">
        <v>139</v>
      </c>
      <c r="G273" s="18">
        <v>0</v>
      </c>
      <c r="H273" s="18">
        <v>529</v>
      </c>
      <c r="I273" s="17" t="s">
        <v>1339</v>
      </c>
      <c r="J273" s="17" t="s">
        <v>62</v>
      </c>
      <c r="K273" s="17" t="s">
        <v>352</v>
      </c>
      <c r="L273" s="17" t="s">
        <v>105</v>
      </c>
      <c r="M273" s="17" t="s">
        <v>1</v>
      </c>
      <c r="N273" s="19">
        <v>45709.8125</v>
      </c>
      <c r="O273" s="17" t="s">
        <v>132</v>
      </c>
      <c r="P273" s="17" t="s">
        <v>1340</v>
      </c>
      <c r="Q273" s="17" t="s">
        <v>1341</v>
      </c>
      <c r="R273" s="17" t="s">
        <v>99</v>
      </c>
      <c r="S273" s="17" t="s">
        <v>1278</v>
      </c>
      <c r="T273" s="19">
        <v>45709.87152777778</v>
      </c>
      <c r="U273" s="17" t="s">
        <v>1278</v>
      </c>
      <c r="V273" s="19">
        <v>45709.87152777778</v>
      </c>
    </row>
    <row r="274" spans="1:22">
      <c r="A274" s="17" t="s">
        <v>129</v>
      </c>
      <c r="B274" s="17" t="s">
        <v>141</v>
      </c>
      <c r="C274" s="17" t="s">
        <v>1342</v>
      </c>
      <c r="D274" s="17" t="s">
        <v>113</v>
      </c>
      <c r="E274" s="18">
        <v>387</v>
      </c>
      <c r="F274" s="17" t="s">
        <v>139</v>
      </c>
      <c r="G274" s="18">
        <v>0</v>
      </c>
      <c r="H274" s="18">
        <v>500</v>
      </c>
      <c r="I274" s="17" t="s">
        <v>1343</v>
      </c>
      <c r="J274" s="17" t="s">
        <v>62</v>
      </c>
      <c r="K274" s="17" t="s">
        <v>352</v>
      </c>
      <c r="L274" s="17" t="s">
        <v>104</v>
      </c>
      <c r="M274" s="17" t="s">
        <v>3</v>
      </c>
      <c r="N274" s="19">
        <v>45705.5</v>
      </c>
      <c r="O274" s="17" t="s">
        <v>132</v>
      </c>
      <c r="P274" s="17" t="s">
        <v>1344</v>
      </c>
      <c r="Q274" s="17" t="s">
        <v>1310</v>
      </c>
      <c r="R274" s="17" t="s">
        <v>99</v>
      </c>
      <c r="S274" s="17" t="s">
        <v>1278</v>
      </c>
      <c r="T274" s="19">
        <v>45705.55625</v>
      </c>
      <c r="U274" s="17" t="s">
        <v>1278</v>
      </c>
      <c r="V274" s="19">
        <v>45705.55625</v>
      </c>
    </row>
    <row r="275" spans="1:22">
      <c r="A275" s="17" t="s">
        <v>129</v>
      </c>
      <c r="B275" s="17" t="s">
        <v>147</v>
      </c>
      <c r="C275" s="17" t="s">
        <v>1342</v>
      </c>
      <c r="D275" s="17" t="s">
        <v>113</v>
      </c>
      <c r="E275" s="18">
        <v>387</v>
      </c>
      <c r="F275" s="17" t="s">
        <v>139</v>
      </c>
      <c r="G275" s="18">
        <v>0</v>
      </c>
      <c r="H275" s="18">
        <v>499</v>
      </c>
      <c r="I275" s="17" t="s">
        <v>1345</v>
      </c>
      <c r="J275" s="17" t="s">
        <v>45</v>
      </c>
      <c r="K275" s="17" t="s">
        <v>697</v>
      </c>
      <c r="L275" s="17" t="s">
        <v>105</v>
      </c>
      <c r="M275" s="17" t="s">
        <v>1</v>
      </c>
      <c r="N275" s="19">
        <v>45705.45833333334</v>
      </c>
      <c r="O275" s="17" t="s">
        <v>132</v>
      </c>
      <c r="P275" s="17" t="s">
        <v>1346</v>
      </c>
      <c r="Q275" s="17" t="s">
        <v>1347</v>
      </c>
      <c r="R275" s="17" t="s">
        <v>99</v>
      </c>
      <c r="S275" s="17" t="s">
        <v>1278</v>
      </c>
      <c r="T275" s="19">
        <v>45705.49583333333</v>
      </c>
      <c r="U275" s="17" t="s">
        <v>1278</v>
      </c>
      <c r="V275" s="19">
        <v>45705.49583333333</v>
      </c>
    </row>
    <row r="276" spans="1:22">
      <c r="A276" s="17" t="s">
        <v>129</v>
      </c>
      <c r="B276" s="17" t="s">
        <v>141</v>
      </c>
      <c r="C276" s="17" t="s">
        <v>1348</v>
      </c>
      <c r="D276" s="17" t="s">
        <v>113</v>
      </c>
      <c r="E276" s="18">
        <v>391</v>
      </c>
      <c r="F276" s="17" t="s">
        <v>139</v>
      </c>
      <c r="G276" s="18">
        <v>0</v>
      </c>
      <c r="H276" s="18">
        <v>480</v>
      </c>
      <c r="I276" s="17" t="s">
        <v>1349</v>
      </c>
      <c r="J276" s="17" t="s">
        <v>35</v>
      </c>
      <c r="K276" s="17" t="s">
        <v>241</v>
      </c>
      <c r="L276" s="17" t="s">
        <v>104</v>
      </c>
      <c r="M276" s="17" t="s">
        <v>22</v>
      </c>
      <c r="N276" s="19">
        <v>45701.33333333334</v>
      </c>
      <c r="O276" s="17" t="s">
        <v>133</v>
      </c>
      <c r="P276" s="17" t="s">
        <v>1350</v>
      </c>
      <c r="Q276" s="17" t="s">
        <v>1351</v>
      </c>
      <c r="R276" s="17" t="s">
        <v>99</v>
      </c>
      <c r="S276" s="17" t="s">
        <v>1278</v>
      </c>
      <c r="T276" s="19">
        <v>45701.52152777778</v>
      </c>
      <c r="U276" s="17" t="s">
        <v>1278</v>
      </c>
      <c r="V276" s="19">
        <v>45701.52152777778</v>
      </c>
    </row>
    <row r="277" spans="1:22">
      <c r="A277" s="17" t="s">
        <v>130</v>
      </c>
      <c r="B277" s="17" t="s">
        <v>142</v>
      </c>
      <c r="C277" s="17" t="s">
        <v>1352</v>
      </c>
      <c r="D277" s="17" t="s">
        <v>113</v>
      </c>
      <c r="E277" s="18">
        <v>393</v>
      </c>
      <c r="F277" s="17" t="s">
        <v>139</v>
      </c>
      <c r="G277" s="18">
        <v>0</v>
      </c>
      <c r="H277" s="18">
        <v>470</v>
      </c>
      <c r="I277" s="17" t="s">
        <v>1353</v>
      </c>
      <c r="J277" s="17" t="s">
        <v>40</v>
      </c>
      <c r="K277" s="17" t="s">
        <v>466</v>
      </c>
      <c r="L277" s="17" t="s">
        <v>105</v>
      </c>
      <c r="M277" s="17" t="s">
        <v>6</v>
      </c>
      <c r="N277" s="19">
        <v>45699.70833333334</v>
      </c>
      <c r="O277" s="17" t="s">
        <v>133</v>
      </c>
      <c r="P277" s="17" t="s">
        <v>1354</v>
      </c>
      <c r="Q277" s="17" t="s">
        <v>1355</v>
      </c>
      <c r="R277" s="17" t="s">
        <v>99</v>
      </c>
      <c r="S277" s="17" t="s">
        <v>1278</v>
      </c>
      <c r="T277" s="19">
        <v>45699.71736111111</v>
      </c>
      <c r="U277" s="17" t="s">
        <v>1278</v>
      </c>
      <c r="V277" s="19">
        <v>45699.71736111111</v>
      </c>
    </row>
    <row r="278" spans="1:22">
      <c r="A278" s="17" t="s">
        <v>129</v>
      </c>
      <c r="B278" s="17" t="s">
        <v>150</v>
      </c>
      <c r="C278" s="17" t="s">
        <v>1352</v>
      </c>
      <c r="D278" s="17" t="s">
        <v>113</v>
      </c>
      <c r="E278" s="18">
        <v>393</v>
      </c>
      <c r="F278" s="17" t="s">
        <v>139</v>
      </c>
      <c r="G278" s="18">
        <v>0</v>
      </c>
      <c r="H278" s="18">
        <v>467</v>
      </c>
      <c r="I278" s="17" t="s">
        <v>1356</v>
      </c>
      <c r="J278" s="17" t="s">
        <v>42</v>
      </c>
      <c r="K278" s="17" t="s">
        <v>270</v>
      </c>
      <c r="L278" s="17" t="s">
        <v>107</v>
      </c>
      <c r="M278" s="17" t="s">
        <v>9</v>
      </c>
      <c r="N278" s="19">
        <v>45699.52777777778</v>
      </c>
      <c r="O278" s="17" t="s">
        <v>132</v>
      </c>
      <c r="P278" s="17" t="s">
        <v>1357</v>
      </c>
      <c r="Q278" s="17" t="s">
        <v>1310</v>
      </c>
      <c r="R278" s="17" t="s">
        <v>99</v>
      </c>
      <c r="S278" s="17" t="s">
        <v>1278</v>
      </c>
      <c r="T278" s="19">
        <v>45699.63125</v>
      </c>
      <c r="U278" s="17" t="s">
        <v>1278</v>
      </c>
      <c r="V278" s="19">
        <v>45699.63125</v>
      </c>
    </row>
    <row r="279" spans="1:22">
      <c r="A279" s="17" t="s">
        <v>129</v>
      </c>
      <c r="B279" s="17" t="s">
        <v>143</v>
      </c>
      <c r="C279" s="17" t="s">
        <v>1352</v>
      </c>
      <c r="D279" s="17" t="s">
        <v>113</v>
      </c>
      <c r="E279" s="18">
        <v>393</v>
      </c>
      <c r="F279" s="17" t="s">
        <v>139</v>
      </c>
      <c r="G279" s="18">
        <v>0</v>
      </c>
      <c r="H279" s="18">
        <v>465</v>
      </c>
      <c r="I279" s="17" t="s">
        <v>1358</v>
      </c>
      <c r="J279" s="17" t="s">
        <v>56</v>
      </c>
      <c r="K279" s="17" t="s">
        <v>360</v>
      </c>
      <c r="L279" s="17" t="s">
        <v>104</v>
      </c>
      <c r="M279" s="17" t="s">
        <v>8</v>
      </c>
      <c r="N279" s="19">
        <v>45699.54166666666</v>
      </c>
      <c r="O279" s="17" t="s">
        <v>133</v>
      </c>
      <c r="P279" s="17" t="s">
        <v>1359</v>
      </c>
      <c r="Q279" s="17" t="s">
        <v>1360</v>
      </c>
      <c r="R279" s="17" t="s">
        <v>99</v>
      </c>
      <c r="S279" s="17" t="s">
        <v>1278</v>
      </c>
      <c r="T279" s="19">
        <v>45699.56736111111</v>
      </c>
      <c r="U279" s="17" t="s">
        <v>1278</v>
      </c>
      <c r="V279" s="19">
        <v>45708.70902777778</v>
      </c>
    </row>
    <row r="280" spans="1:22">
      <c r="A280" s="17" t="s">
        <v>129</v>
      </c>
      <c r="B280" s="17" t="s">
        <v>141</v>
      </c>
      <c r="C280" s="17" t="s">
        <v>1361</v>
      </c>
      <c r="D280" s="17" t="s">
        <v>113</v>
      </c>
      <c r="E280" s="18">
        <v>394</v>
      </c>
      <c r="F280" s="17" t="s">
        <v>139</v>
      </c>
      <c r="G280" s="18">
        <v>0</v>
      </c>
      <c r="H280" s="18">
        <v>457</v>
      </c>
      <c r="I280" s="17" t="s">
        <v>1362</v>
      </c>
      <c r="J280" s="17" t="s">
        <v>70</v>
      </c>
      <c r="K280" s="17" t="s">
        <v>221</v>
      </c>
      <c r="L280" s="17" t="s">
        <v>104</v>
      </c>
      <c r="M280" s="17" t="s">
        <v>18</v>
      </c>
      <c r="N280" s="19">
        <v>45698.4375</v>
      </c>
      <c r="O280" s="17" t="s">
        <v>132</v>
      </c>
      <c r="P280" s="17" t="s">
        <v>1363</v>
      </c>
      <c r="Q280" s="17" t="s">
        <v>1364</v>
      </c>
      <c r="R280" s="17" t="s">
        <v>99</v>
      </c>
      <c r="S280" s="17" t="s">
        <v>1278</v>
      </c>
      <c r="T280" s="19">
        <v>45698.55416666667</v>
      </c>
      <c r="U280" s="17" t="s">
        <v>1278</v>
      </c>
      <c r="V280" s="19">
        <v>45698.55416666667</v>
      </c>
    </row>
    <row r="281" spans="1:22">
      <c r="A281" s="17" t="s">
        <v>130</v>
      </c>
      <c r="B281" s="17" t="s">
        <v>142</v>
      </c>
      <c r="C281" s="17" t="s">
        <v>1365</v>
      </c>
      <c r="D281" s="17" t="s">
        <v>113</v>
      </c>
      <c r="E281" s="18">
        <v>397</v>
      </c>
      <c r="F281" s="17" t="s">
        <v>139</v>
      </c>
      <c r="G281" s="18">
        <v>0</v>
      </c>
      <c r="H281" s="18">
        <v>449</v>
      </c>
      <c r="I281" s="17" t="s">
        <v>1366</v>
      </c>
      <c r="J281" s="17" t="s">
        <v>62</v>
      </c>
      <c r="K281" s="17" t="s">
        <v>484</v>
      </c>
      <c r="L281" s="17" t="s">
        <v>104</v>
      </c>
      <c r="M281" s="17" t="s">
        <v>22</v>
      </c>
      <c r="N281" s="19">
        <v>45695.65277777778</v>
      </c>
      <c r="O281" s="17" t="s">
        <v>133</v>
      </c>
      <c r="P281" s="17" t="s">
        <v>1367</v>
      </c>
      <c r="Q281" s="17" t="s">
        <v>1368</v>
      </c>
      <c r="R281" s="17" t="s">
        <v>99</v>
      </c>
      <c r="S281" s="17" t="s">
        <v>1278</v>
      </c>
      <c r="T281" s="19">
        <v>45695.87986111111</v>
      </c>
      <c r="U281" s="17" t="s">
        <v>1278</v>
      </c>
      <c r="V281" s="19">
        <v>45743.49861111111</v>
      </c>
    </row>
    <row r="282" spans="1:22">
      <c r="A282" s="17" t="s">
        <v>129</v>
      </c>
      <c r="B282" s="17" t="s">
        <v>141</v>
      </c>
      <c r="C282" s="17" t="s">
        <v>1369</v>
      </c>
      <c r="D282" s="17" t="s">
        <v>113</v>
      </c>
      <c r="E282" s="18">
        <v>399</v>
      </c>
      <c r="F282" s="17" t="s">
        <v>139</v>
      </c>
      <c r="G282" s="18">
        <v>0</v>
      </c>
      <c r="H282" s="18">
        <v>448</v>
      </c>
      <c r="I282" s="17" t="s">
        <v>1370</v>
      </c>
      <c r="J282" s="17" t="s">
        <v>62</v>
      </c>
      <c r="K282" s="17" t="s">
        <v>352</v>
      </c>
      <c r="L282" s="17" t="s">
        <v>105</v>
      </c>
      <c r="M282" s="17" t="s">
        <v>6</v>
      </c>
      <c r="N282" s="19">
        <v>45693.44444444445</v>
      </c>
      <c r="O282" s="17" t="s">
        <v>132</v>
      </c>
      <c r="P282" s="17" t="s">
        <v>1371</v>
      </c>
      <c r="Q282" s="17" t="s">
        <v>1372</v>
      </c>
      <c r="R282" s="17" t="s">
        <v>99</v>
      </c>
      <c r="S282" s="17" t="s">
        <v>1278</v>
      </c>
      <c r="T282" s="19">
        <v>45695.59097222222</v>
      </c>
      <c r="U282" s="17" t="s">
        <v>1278</v>
      </c>
      <c r="V282" s="19">
        <v>45695.59097222222</v>
      </c>
    </row>
    <row r="283" spans="1:22">
      <c r="A283" s="17" t="s">
        <v>129</v>
      </c>
      <c r="B283" s="17" t="s">
        <v>141</v>
      </c>
      <c r="C283" s="17" t="s">
        <v>1373</v>
      </c>
      <c r="D283" s="17" t="s">
        <v>113</v>
      </c>
      <c r="E283" s="18">
        <v>398</v>
      </c>
      <c r="F283" s="17" t="s">
        <v>139</v>
      </c>
      <c r="G283" s="18">
        <v>0</v>
      </c>
      <c r="H283" s="18">
        <v>445</v>
      </c>
      <c r="I283" s="17" t="s">
        <v>1374</v>
      </c>
      <c r="J283" s="17" t="s">
        <v>66</v>
      </c>
      <c r="K283" s="17" t="s">
        <v>352</v>
      </c>
      <c r="L283" s="17" t="s">
        <v>105</v>
      </c>
      <c r="M283" s="17" t="s">
        <v>6</v>
      </c>
      <c r="N283" s="19">
        <v>45694</v>
      </c>
      <c r="O283" s="17" t="s">
        <v>132</v>
      </c>
      <c r="P283" s="17" t="s">
        <v>1375</v>
      </c>
      <c r="Q283" s="17" t="s">
        <v>1376</v>
      </c>
      <c r="R283" s="17" t="s">
        <v>99</v>
      </c>
      <c r="S283" s="17" t="s">
        <v>1278</v>
      </c>
      <c r="T283" s="19">
        <v>45694.575</v>
      </c>
      <c r="U283" s="17" t="s">
        <v>1278</v>
      </c>
      <c r="V283" s="19">
        <v>45694.575</v>
      </c>
    </row>
    <row r="284" spans="1:22">
      <c r="A284" s="17" t="s">
        <v>129</v>
      </c>
      <c r="B284" s="17" t="s">
        <v>150</v>
      </c>
      <c r="C284" s="17" t="s">
        <v>1373</v>
      </c>
      <c r="D284" s="17" t="s">
        <v>113</v>
      </c>
      <c r="E284" s="18">
        <v>398</v>
      </c>
      <c r="F284" s="17" t="s">
        <v>139</v>
      </c>
      <c r="G284" s="18">
        <v>0</v>
      </c>
      <c r="H284" s="18">
        <v>444</v>
      </c>
      <c r="I284" s="17" t="s">
        <v>1377</v>
      </c>
      <c r="J284" s="17" t="s">
        <v>62</v>
      </c>
      <c r="K284" s="17" t="s">
        <v>270</v>
      </c>
      <c r="L284" s="17" t="s">
        <v>105</v>
      </c>
      <c r="M284" s="17" t="s">
        <v>6</v>
      </c>
      <c r="N284" s="19">
        <v>45694.08333333334</v>
      </c>
      <c r="O284" s="17" t="s">
        <v>132</v>
      </c>
      <c r="P284" s="17" t="s">
        <v>1378</v>
      </c>
      <c r="Q284" s="17" t="s">
        <v>1379</v>
      </c>
      <c r="R284" s="17" t="s">
        <v>99</v>
      </c>
      <c r="S284" s="17" t="s">
        <v>1278</v>
      </c>
      <c r="T284" s="19">
        <v>45694.57361111111</v>
      </c>
      <c r="U284" s="17" t="s">
        <v>1278</v>
      </c>
      <c r="V284" s="19">
        <v>45735.60486111111</v>
      </c>
    </row>
    <row r="285" spans="1:22">
      <c r="A285" s="17" t="s">
        <v>129</v>
      </c>
      <c r="B285" s="17" t="s">
        <v>143</v>
      </c>
      <c r="C285" s="17" t="s">
        <v>1373</v>
      </c>
      <c r="D285" s="17" t="s">
        <v>113</v>
      </c>
      <c r="E285" s="18">
        <v>398</v>
      </c>
      <c r="F285" s="17" t="s">
        <v>139</v>
      </c>
      <c r="G285" s="18">
        <v>0</v>
      </c>
      <c r="H285" s="18">
        <v>443</v>
      </c>
      <c r="I285" s="17" t="s">
        <v>1380</v>
      </c>
      <c r="J285" s="17" t="s">
        <v>29</v>
      </c>
      <c r="K285" s="17" t="s">
        <v>662</v>
      </c>
      <c r="L285" s="17" t="s">
        <v>107</v>
      </c>
      <c r="M285" s="17" t="s">
        <v>14</v>
      </c>
      <c r="N285" s="19">
        <v>45694.33333333334</v>
      </c>
      <c r="O285" s="17" t="s">
        <v>133</v>
      </c>
      <c r="P285" s="17" t="s">
        <v>1381</v>
      </c>
      <c r="Q285" s="17" t="s">
        <v>1382</v>
      </c>
      <c r="R285" s="17" t="s">
        <v>99</v>
      </c>
      <c r="S285" s="17" t="s">
        <v>1278</v>
      </c>
      <c r="T285" s="19">
        <v>45694.37916666667</v>
      </c>
      <c r="U285" s="17" t="s">
        <v>1278</v>
      </c>
      <c r="V285" s="19">
        <v>45698.51805555556</v>
      </c>
    </row>
    <row r="286" spans="1:22">
      <c r="A286" s="17" t="s">
        <v>130</v>
      </c>
      <c r="B286" s="17" t="s">
        <v>142</v>
      </c>
      <c r="C286" s="17" t="s">
        <v>1369</v>
      </c>
      <c r="D286" s="17" t="s">
        <v>113</v>
      </c>
      <c r="E286" s="18">
        <v>399</v>
      </c>
      <c r="F286" s="17" t="s">
        <v>139</v>
      </c>
      <c r="G286" s="18">
        <v>0</v>
      </c>
      <c r="H286" s="18">
        <v>437</v>
      </c>
      <c r="I286" s="17" t="s">
        <v>1383</v>
      </c>
      <c r="J286" s="17" t="s">
        <v>73</v>
      </c>
      <c r="K286" s="17" t="s">
        <v>365</v>
      </c>
      <c r="L286" s="17" t="s">
        <v>104</v>
      </c>
      <c r="M286" s="17" t="s">
        <v>11</v>
      </c>
      <c r="N286" s="19">
        <v>45693.52777777778</v>
      </c>
      <c r="O286" s="17" t="s">
        <v>133</v>
      </c>
      <c r="P286" s="17" t="s">
        <v>1384</v>
      </c>
      <c r="Q286" s="17" t="s">
        <v>1385</v>
      </c>
      <c r="R286" s="17" t="s">
        <v>99</v>
      </c>
      <c r="S286" s="17" t="s">
        <v>1278</v>
      </c>
      <c r="T286" s="19">
        <v>45693.62638888889</v>
      </c>
      <c r="U286" s="17" t="s">
        <v>1278</v>
      </c>
      <c r="V286" s="19">
        <v>45743.49375</v>
      </c>
    </row>
    <row r="287" spans="1:22">
      <c r="A287" s="17" t="s">
        <v>129</v>
      </c>
      <c r="B287" s="17" t="s">
        <v>141</v>
      </c>
      <c r="C287" s="17" t="s">
        <v>1386</v>
      </c>
      <c r="D287" s="17" t="s">
        <v>113</v>
      </c>
      <c r="E287" s="18">
        <v>401</v>
      </c>
      <c r="F287" s="17" t="s">
        <v>139</v>
      </c>
      <c r="G287" s="18">
        <v>0</v>
      </c>
      <c r="H287" s="18">
        <v>426</v>
      </c>
      <c r="I287" s="17" t="s">
        <v>1387</v>
      </c>
      <c r="J287" s="17" t="s">
        <v>66</v>
      </c>
      <c r="K287" s="17" t="s">
        <v>433</v>
      </c>
      <c r="L287" s="17" t="s">
        <v>104</v>
      </c>
      <c r="M287" s="17" t="s">
        <v>20</v>
      </c>
      <c r="N287" s="19">
        <v>45691.70833333334</v>
      </c>
      <c r="O287" s="17" t="s">
        <v>133</v>
      </c>
      <c r="P287" s="17" t="s">
        <v>1388</v>
      </c>
      <c r="Q287" s="17" t="s">
        <v>1310</v>
      </c>
      <c r="R287" s="17" t="s">
        <v>99</v>
      </c>
      <c r="S287" s="17" t="s">
        <v>1278</v>
      </c>
      <c r="T287" s="19">
        <v>45691.79513888889</v>
      </c>
      <c r="U287" s="17" t="s">
        <v>1278</v>
      </c>
      <c r="V287" s="19">
        <v>45691.79513888889</v>
      </c>
    </row>
    <row r="288" spans="1:22">
      <c r="A288" s="17" t="s">
        <v>129</v>
      </c>
      <c r="B288" s="17" t="s">
        <v>141</v>
      </c>
      <c r="C288" s="17" t="s">
        <v>1386</v>
      </c>
      <c r="D288" s="17" t="s">
        <v>113</v>
      </c>
      <c r="E288" s="18">
        <v>401</v>
      </c>
      <c r="F288" s="17" t="s">
        <v>139</v>
      </c>
      <c r="G288" s="18">
        <v>0</v>
      </c>
      <c r="H288" s="18">
        <v>422</v>
      </c>
      <c r="I288" s="17" t="s">
        <v>1389</v>
      </c>
      <c r="J288" s="17" t="s">
        <v>66</v>
      </c>
      <c r="K288" s="17" t="s">
        <v>433</v>
      </c>
      <c r="L288" s="17" t="s">
        <v>105</v>
      </c>
      <c r="M288" s="17" t="s">
        <v>1</v>
      </c>
      <c r="N288" s="19">
        <v>45691.47222222222</v>
      </c>
      <c r="O288" s="17" t="s">
        <v>132</v>
      </c>
      <c r="P288" s="17" t="s">
        <v>1390</v>
      </c>
      <c r="Q288" s="17" t="s">
        <v>1391</v>
      </c>
      <c r="R288" s="17" t="s">
        <v>99</v>
      </c>
      <c r="S288" s="17" t="s">
        <v>1278</v>
      </c>
      <c r="T288" s="19">
        <v>45691.51111111111</v>
      </c>
      <c r="U288" s="17" t="s">
        <v>1278</v>
      </c>
      <c r="V288" s="19">
        <v>45691.51111111111</v>
      </c>
    </row>
    <row r="289" spans="1:22">
      <c r="A289" s="17" t="s">
        <v>129</v>
      </c>
      <c r="B289" s="17" t="s">
        <v>143</v>
      </c>
      <c r="C289" s="17" t="s">
        <v>1386</v>
      </c>
      <c r="D289" s="17" t="s">
        <v>113</v>
      </c>
      <c r="E289" s="18">
        <v>401</v>
      </c>
      <c r="F289" s="17" t="s">
        <v>139</v>
      </c>
      <c r="G289" s="18">
        <v>0</v>
      </c>
      <c r="H289" s="18">
        <v>421</v>
      </c>
      <c r="I289" s="17" t="s">
        <v>1392</v>
      </c>
      <c r="J289" s="17" t="s">
        <v>72</v>
      </c>
      <c r="K289" s="17" t="s">
        <v>317</v>
      </c>
      <c r="L289" s="17" t="s">
        <v>104</v>
      </c>
      <c r="M289" s="17" t="s">
        <v>22</v>
      </c>
      <c r="N289" s="19">
        <v>45691.45833333334</v>
      </c>
      <c r="O289" s="17" t="s">
        <v>132</v>
      </c>
      <c r="P289" s="17" t="s">
        <v>1393</v>
      </c>
      <c r="Q289" s="17" t="s">
        <v>1394</v>
      </c>
      <c r="R289" s="17" t="s">
        <v>99</v>
      </c>
      <c r="S289" s="17" t="s">
        <v>1278</v>
      </c>
      <c r="T289" s="19">
        <v>45691.47638888889</v>
      </c>
      <c r="U289" s="17" t="s">
        <v>1278</v>
      </c>
      <c r="V289" s="19">
        <v>45708.71180555555</v>
      </c>
    </row>
    <row r="290" spans="1:22">
      <c r="A290" s="17" t="s">
        <v>129</v>
      </c>
      <c r="B290" s="17" t="s">
        <v>141</v>
      </c>
      <c r="C290" s="17" t="s">
        <v>1395</v>
      </c>
      <c r="D290" s="17" t="s">
        <v>112</v>
      </c>
      <c r="E290" s="18">
        <v>404</v>
      </c>
      <c r="F290" s="17" t="s">
        <v>139</v>
      </c>
      <c r="G290" s="18">
        <v>0</v>
      </c>
      <c r="H290" s="18">
        <v>409</v>
      </c>
      <c r="I290" s="17" t="s">
        <v>1396</v>
      </c>
      <c r="J290" s="17" t="s">
        <v>62</v>
      </c>
      <c r="K290" s="17" t="s">
        <v>352</v>
      </c>
      <c r="L290" s="17" t="s">
        <v>104</v>
      </c>
      <c r="M290" s="17" t="s">
        <v>22</v>
      </c>
      <c r="N290" s="19">
        <v>45688.58333333334</v>
      </c>
      <c r="O290" s="17" t="s">
        <v>133</v>
      </c>
      <c r="P290" s="17" t="s">
        <v>1397</v>
      </c>
      <c r="Q290" s="17" t="s">
        <v>1398</v>
      </c>
      <c r="R290" s="17" t="s">
        <v>99</v>
      </c>
      <c r="S290" s="17" t="s">
        <v>1278</v>
      </c>
      <c r="T290" s="19">
        <v>45688.61458333334</v>
      </c>
      <c r="U290" s="17" t="s">
        <v>1278</v>
      </c>
      <c r="V290" s="19">
        <v>45688.61458333334</v>
      </c>
    </row>
    <row r="291" spans="1:22">
      <c r="A291" s="17" t="s">
        <v>129</v>
      </c>
      <c r="B291" s="17" t="s">
        <v>141</v>
      </c>
      <c r="C291" s="17" t="s">
        <v>1395</v>
      </c>
      <c r="D291" s="17" t="s">
        <v>112</v>
      </c>
      <c r="E291" s="18">
        <v>404</v>
      </c>
      <c r="F291" s="17" t="s">
        <v>139</v>
      </c>
      <c r="G291" s="18">
        <v>0</v>
      </c>
      <c r="H291" s="18">
        <v>408</v>
      </c>
      <c r="I291" s="17" t="s">
        <v>1399</v>
      </c>
      <c r="J291" s="17" t="s">
        <v>46</v>
      </c>
      <c r="K291" s="17" t="s">
        <v>352</v>
      </c>
      <c r="L291" s="17" t="s">
        <v>107</v>
      </c>
      <c r="M291" s="17" t="s">
        <v>14</v>
      </c>
      <c r="N291" s="19">
        <v>45688.55555555555</v>
      </c>
      <c r="O291" s="17" t="s">
        <v>132</v>
      </c>
      <c r="P291" s="17" t="s">
        <v>1400</v>
      </c>
      <c r="Q291" s="17" t="s">
        <v>1401</v>
      </c>
      <c r="R291" s="17" t="s">
        <v>99</v>
      </c>
      <c r="S291" s="17" t="s">
        <v>1278</v>
      </c>
      <c r="T291" s="19">
        <v>45688.61111111111</v>
      </c>
      <c r="U291" s="17" t="s">
        <v>1278</v>
      </c>
      <c r="V291" s="19">
        <v>45688.61111111111</v>
      </c>
    </row>
    <row r="292" spans="1:22">
      <c r="A292" s="17" t="s">
        <v>129</v>
      </c>
      <c r="B292" s="17" t="s">
        <v>146</v>
      </c>
      <c r="C292" s="17" t="s">
        <v>1402</v>
      </c>
      <c r="D292" s="17" t="s">
        <v>112</v>
      </c>
      <c r="E292" s="18">
        <v>405</v>
      </c>
      <c r="F292" s="17" t="s">
        <v>139</v>
      </c>
      <c r="G292" s="18">
        <v>0</v>
      </c>
      <c r="H292" s="18">
        <v>402</v>
      </c>
      <c r="I292" s="17" t="s">
        <v>1403</v>
      </c>
      <c r="J292" s="17" t="s">
        <v>62</v>
      </c>
      <c r="K292" s="17" t="s">
        <v>288</v>
      </c>
      <c r="L292" s="17" t="s">
        <v>104</v>
      </c>
      <c r="M292" s="17"/>
      <c r="N292" s="19">
        <v>45687.5</v>
      </c>
      <c r="O292" s="17" t="s">
        <v>132</v>
      </c>
      <c r="P292" s="17" t="s">
        <v>1404</v>
      </c>
      <c r="Q292" s="17" t="s">
        <v>1405</v>
      </c>
      <c r="R292" s="17" t="s">
        <v>99</v>
      </c>
      <c r="S292" s="17" t="s">
        <v>1013</v>
      </c>
      <c r="T292" s="19">
        <v>45687.58194444444</v>
      </c>
      <c r="U292" s="17" t="s">
        <v>1122</v>
      </c>
      <c r="V292" s="19">
        <v>45687.73680555556</v>
      </c>
    </row>
    <row r="293" spans="1:22">
      <c r="A293" s="17" t="s">
        <v>129</v>
      </c>
      <c r="B293" s="17" t="s">
        <v>146</v>
      </c>
      <c r="C293" s="17" t="s">
        <v>1406</v>
      </c>
      <c r="D293" s="17" t="s">
        <v>112</v>
      </c>
      <c r="E293" s="18">
        <v>408</v>
      </c>
      <c r="F293" s="17" t="s">
        <v>139</v>
      </c>
      <c r="G293" s="18">
        <v>0</v>
      </c>
      <c r="H293" s="18">
        <v>382</v>
      </c>
      <c r="I293" s="17" t="s">
        <v>1407</v>
      </c>
      <c r="J293" s="17" t="s">
        <v>62</v>
      </c>
      <c r="K293" s="17" t="s">
        <v>288</v>
      </c>
      <c r="L293" s="17" t="s">
        <v>106</v>
      </c>
      <c r="M293" s="17" t="s">
        <v>7</v>
      </c>
      <c r="N293" s="19">
        <v>45684</v>
      </c>
      <c r="O293" s="17" t="s">
        <v>133</v>
      </c>
      <c r="P293" s="17" t="s">
        <v>1408</v>
      </c>
      <c r="Q293" s="17" t="s">
        <v>1409</v>
      </c>
      <c r="R293" s="17" t="s">
        <v>99</v>
      </c>
      <c r="S293" s="17" t="s">
        <v>1228</v>
      </c>
      <c r="T293" s="19">
        <v>45684.60902777778</v>
      </c>
      <c r="U293" s="17" t="s">
        <v>1228</v>
      </c>
      <c r="V293" s="19">
        <v>45684.60972222222</v>
      </c>
    </row>
    <row r="294" spans="1:22">
      <c r="A294" s="17" t="s">
        <v>130</v>
      </c>
      <c r="B294" s="17" t="s">
        <v>142</v>
      </c>
      <c r="C294" s="17" t="s">
        <v>1406</v>
      </c>
      <c r="D294" s="17" t="s">
        <v>112</v>
      </c>
      <c r="E294" s="18">
        <v>408</v>
      </c>
      <c r="F294" s="17" t="s">
        <v>139</v>
      </c>
      <c r="G294" s="18">
        <v>0</v>
      </c>
      <c r="H294" s="18">
        <v>377</v>
      </c>
      <c r="I294" s="17" t="s">
        <v>1410</v>
      </c>
      <c r="J294" s="17" t="s">
        <v>52</v>
      </c>
      <c r="K294" s="17" t="s">
        <v>553</v>
      </c>
      <c r="L294" s="17" t="s">
        <v>104</v>
      </c>
      <c r="M294" s="17" t="s">
        <v>22</v>
      </c>
      <c r="N294" s="19">
        <v>45684.4375</v>
      </c>
      <c r="O294" s="17" t="s">
        <v>133</v>
      </c>
      <c r="P294" s="17" t="s">
        <v>1411</v>
      </c>
      <c r="Q294" s="17" t="s">
        <v>1412</v>
      </c>
      <c r="R294" s="17" t="s">
        <v>99</v>
      </c>
      <c r="S294" s="17" t="s">
        <v>1278</v>
      </c>
      <c r="T294" s="19">
        <v>45684.4625</v>
      </c>
      <c r="U294" s="17" t="s">
        <v>1278</v>
      </c>
      <c r="V294" s="19">
        <v>45684.4625</v>
      </c>
    </row>
    <row r="295" spans="1:22">
      <c r="A295" s="17" t="s">
        <v>129</v>
      </c>
      <c r="B295" s="17" t="s">
        <v>141</v>
      </c>
      <c r="C295" s="17" t="s">
        <v>1413</v>
      </c>
      <c r="D295" s="17" t="s">
        <v>112</v>
      </c>
      <c r="E295" s="18">
        <v>409</v>
      </c>
      <c r="F295" s="17" t="s">
        <v>139</v>
      </c>
      <c r="G295" s="18">
        <v>0</v>
      </c>
      <c r="H295" s="18">
        <v>375</v>
      </c>
      <c r="I295" s="17" t="s">
        <v>1414</v>
      </c>
      <c r="J295" s="17" t="s">
        <v>69</v>
      </c>
      <c r="K295" s="17" t="s">
        <v>241</v>
      </c>
      <c r="L295" s="17" t="s">
        <v>104</v>
      </c>
      <c r="M295" s="17" t="s">
        <v>8</v>
      </c>
      <c r="N295" s="19">
        <v>45683.4375</v>
      </c>
      <c r="O295" s="17" t="s">
        <v>133</v>
      </c>
      <c r="P295" s="17" t="s">
        <v>1415</v>
      </c>
      <c r="Q295" s="17" t="s">
        <v>1337</v>
      </c>
      <c r="R295" s="17" t="s">
        <v>99</v>
      </c>
      <c r="S295" s="17" t="s">
        <v>1416</v>
      </c>
      <c r="T295" s="19">
        <v>45683.52291666667</v>
      </c>
      <c r="U295" s="17" t="s">
        <v>1416</v>
      </c>
      <c r="V295" s="19">
        <v>45683.52291666667</v>
      </c>
    </row>
    <row r="296" spans="1:22">
      <c r="A296" s="17" t="s">
        <v>129</v>
      </c>
      <c r="B296" s="17" t="s">
        <v>141</v>
      </c>
      <c r="C296" s="17" t="s">
        <v>1417</v>
      </c>
      <c r="D296" s="17" t="s">
        <v>112</v>
      </c>
      <c r="E296" s="18">
        <v>410</v>
      </c>
      <c r="F296" s="17" t="s">
        <v>139</v>
      </c>
      <c r="G296" s="18">
        <v>0</v>
      </c>
      <c r="H296" s="18">
        <v>374</v>
      </c>
      <c r="I296" s="17" t="s">
        <v>1418</v>
      </c>
      <c r="J296" s="17" t="s">
        <v>62</v>
      </c>
      <c r="K296" s="17" t="s">
        <v>352</v>
      </c>
      <c r="L296" s="17" t="s">
        <v>104</v>
      </c>
      <c r="M296" s="17" t="s">
        <v>22</v>
      </c>
      <c r="N296" s="19">
        <v>45682.72916666666</v>
      </c>
      <c r="O296" s="17" t="s">
        <v>133</v>
      </c>
      <c r="P296" s="17" t="s">
        <v>1419</v>
      </c>
      <c r="Q296" s="17" t="s">
        <v>1420</v>
      </c>
      <c r="R296" s="17" t="s">
        <v>99</v>
      </c>
      <c r="S296" s="17" t="s">
        <v>1278</v>
      </c>
      <c r="T296" s="19">
        <v>45682.78333333333</v>
      </c>
      <c r="U296" s="17" t="s">
        <v>1278</v>
      </c>
      <c r="V296" s="19">
        <v>45682.78333333333</v>
      </c>
    </row>
    <row r="297" spans="1:22">
      <c r="A297" s="17" t="s">
        <v>129</v>
      </c>
      <c r="B297" s="17" t="s">
        <v>141</v>
      </c>
      <c r="C297" s="17" t="s">
        <v>1421</v>
      </c>
      <c r="D297" s="17" t="s">
        <v>112</v>
      </c>
      <c r="E297" s="18">
        <v>411</v>
      </c>
      <c r="F297" s="17" t="s">
        <v>139</v>
      </c>
      <c r="G297" s="18">
        <v>0</v>
      </c>
      <c r="H297" s="18">
        <v>371</v>
      </c>
      <c r="I297" s="17" t="s">
        <v>1422</v>
      </c>
      <c r="J297" s="17" t="s">
        <v>62</v>
      </c>
      <c r="K297" s="17" t="s">
        <v>395</v>
      </c>
      <c r="L297" s="17" t="s">
        <v>106</v>
      </c>
      <c r="M297" s="17" t="s">
        <v>10</v>
      </c>
      <c r="N297" s="19">
        <v>45681.625</v>
      </c>
      <c r="O297" s="17" t="s">
        <v>133</v>
      </c>
      <c r="P297" s="17" t="s">
        <v>1423</v>
      </c>
      <c r="Q297" s="17" t="s">
        <v>1424</v>
      </c>
      <c r="R297" s="17" t="s">
        <v>99</v>
      </c>
      <c r="S297" s="17" t="s">
        <v>1278</v>
      </c>
      <c r="T297" s="19">
        <v>45682.63125</v>
      </c>
      <c r="U297" s="17" t="s">
        <v>1278</v>
      </c>
      <c r="V297" s="19">
        <v>45682.63125</v>
      </c>
    </row>
    <row r="298" spans="1:22">
      <c r="A298" s="17" t="s">
        <v>129</v>
      </c>
      <c r="B298" s="17" t="s">
        <v>143</v>
      </c>
      <c r="C298" s="17" t="s">
        <v>1421</v>
      </c>
      <c r="D298" s="17" t="s">
        <v>112</v>
      </c>
      <c r="E298" s="18">
        <v>411</v>
      </c>
      <c r="F298" s="17" t="s">
        <v>139</v>
      </c>
      <c r="G298" s="18">
        <v>0</v>
      </c>
      <c r="H298" s="18">
        <v>362</v>
      </c>
      <c r="I298" s="17" t="s">
        <v>1425</v>
      </c>
      <c r="J298" s="17" t="s">
        <v>56</v>
      </c>
      <c r="K298" s="17" t="s">
        <v>475</v>
      </c>
      <c r="L298" s="17" t="s">
        <v>106</v>
      </c>
      <c r="M298" s="17" t="s">
        <v>10</v>
      </c>
      <c r="N298" s="19">
        <v>45681.66666666666</v>
      </c>
      <c r="O298" s="17" t="s">
        <v>132</v>
      </c>
      <c r="P298" s="17" t="s">
        <v>1426</v>
      </c>
      <c r="Q298" s="17" t="s">
        <v>1427</v>
      </c>
      <c r="R298" s="17" t="s">
        <v>99</v>
      </c>
      <c r="S298" s="17" t="s">
        <v>1278</v>
      </c>
      <c r="T298" s="19">
        <v>45681.70833333334</v>
      </c>
      <c r="U298" s="17" t="s">
        <v>1278</v>
      </c>
      <c r="V298" s="19">
        <v>45681.70833333334</v>
      </c>
    </row>
    <row r="299" spans="1:22">
      <c r="A299" s="17" t="s">
        <v>129</v>
      </c>
      <c r="B299" s="17" t="s">
        <v>143</v>
      </c>
      <c r="C299" s="17" t="s">
        <v>1428</v>
      </c>
      <c r="D299" s="17" t="s">
        <v>112</v>
      </c>
      <c r="E299" s="18">
        <v>413</v>
      </c>
      <c r="F299" s="17" t="s">
        <v>139</v>
      </c>
      <c r="G299" s="18">
        <v>0</v>
      </c>
      <c r="H299" s="18">
        <v>358</v>
      </c>
      <c r="I299" s="17" t="s">
        <v>1429</v>
      </c>
      <c r="J299" s="17" t="s">
        <v>56</v>
      </c>
      <c r="K299" s="17" t="s">
        <v>475</v>
      </c>
      <c r="L299" s="17" t="s">
        <v>105</v>
      </c>
      <c r="M299" s="17" t="s">
        <v>1</v>
      </c>
      <c r="N299" s="19">
        <v>45679.99305555555</v>
      </c>
      <c r="O299" s="17" t="s">
        <v>132</v>
      </c>
      <c r="P299" s="17" t="s">
        <v>1430</v>
      </c>
      <c r="Q299" s="17" t="s">
        <v>1431</v>
      </c>
      <c r="R299" s="17" t="s">
        <v>99</v>
      </c>
      <c r="S299" s="17" t="s">
        <v>1278</v>
      </c>
      <c r="T299" s="19">
        <v>45680.56527777778</v>
      </c>
      <c r="U299" s="17" t="s">
        <v>1013</v>
      </c>
      <c r="V299" s="19">
        <v>45681.58611111111</v>
      </c>
    </row>
    <row r="300" spans="1:22">
      <c r="A300" s="17" t="s">
        <v>130</v>
      </c>
      <c r="B300" s="17" t="s">
        <v>142</v>
      </c>
      <c r="C300" s="17" t="s">
        <v>1432</v>
      </c>
      <c r="D300" s="17" t="s">
        <v>112</v>
      </c>
      <c r="E300" s="18">
        <v>419</v>
      </c>
      <c r="F300" s="17" t="s">
        <v>139</v>
      </c>
      <c r="G300" s="18">
        <v>0</v>
      </c>
      <c r="H300" s="18">
        <v>357</v>
      </c>
      <c r="I300" s="17" t="s">
        <v>1433</v>
      </c>
      <c r="J300" s="17" t="s">
        <v>62</v>
      </c>
      <c r="K300" s="17" t="s">
        <v>466</v>
      </c>
      <c r="L300" s="17" t="s">
        <v>106</v>
      </c>
      <c r="M300" s="17" t="s">
        <v>10</v>
      </c>
      <c r="N300" s="19">
        <v>45673.4375</v>
      </c>
      <c r="O300" s="17" t="s">
        <v>132</v>
      </c>
      <c r="P300" s="17" t="s">
        <v>1434</v>
      </c>
      <c r="Q300" s="17" t="s">
        <v>1435</v>
      </c>
      <c r="R300" s="17" t="s">
        <v>99</v>
      </c>
      <c r="S300" s="17" t="s">
        <v>1278</v>
      </c>
      <c r="T300" s="19">
        <v>45680.56180555555</v>
      </c>
      <c r="U300" s="17" t="s">
        <v>1278</v>
      </c>
      <c r="V300" s="19">
        <v>45743.49097222222</v>
      </c>
    </row>
    <row r="301" spans="1:22">
      <c r="A301" s="17" t="s">
        <v>129</v>
      </c>
      <c r="B301" s="17" t="s">
        <v>146</v>
      </c>
      <c r="C301" s="17" t="s">
        <v>1428</v>
      </c>
      <c r="D301" s="17" t="s">
        <v>112</v>
      </c>
      <c r="E301" s="18">
        <v>413</v>
      </c>
      <c r="F301" s="17" t="s">
        <v>139</v>
      </c>
      <c r="G301" s="18">
        <v>0</v>
      </c>
      <c r="H301" s="18">
        <v>349</v>
      </c>
      <c r="I301" s="17" t="s">
        <v>1436</v>
      </c>
      <c r="J301" s="17" t="s">
        <v>68</v>
      </c>
      <c r="K301" s="17" t="s">
        <v>288</v>
      </c>
      <c r="L301" s="17" t="s">
        <v>105</v>
      </c>
      <c r="M301" s="17" t="s">
        <v>1</v>
      </c>
      <c r="N301" s="19">
        <v>45679.41666666666</v>
      </c>
      <c r="O301" s="17" t="s">
        <v>132</v>
      </c>
      <c r="P301" s="17" t="s">
        <v>1437</v>
      </c>
      <c r="Q301" s="17" t="s">
        <v>1438</v>
      </c>
      <c r="R301" s="17" t="s">
        <v>99</v>
      </c>
      <c r="S301" s="17" t="s">
        <v>1278</v>
      </c>
      <c r="T301" s="19">
        <v>45679.54305555556</v>
      </c>
      <c r="U301" s="17" t="s">
        <v>1278</v>
      </c>
      <c r="V301" s="19">
        <v>45734.56736111111</v>
      </c>
    </row>
    <row r="302" spans="1:22">
      <c r="A302" s="17" t="s">
        <v>129</v>
      </c>
      <c r="B302" s="17" t="s">
        <v>151</v>
      </c>
      <c r="C302" s="17" t="s">
        <v>1439</v>
      </c>
      <c r="D302" s="17" t="s">
        <v>112</v>
      </c>
      <c r="E302" s="18">
        <v>418</v>
      </c>
      <c r="F302" s="17" t="s">
        <v>139</v>
      </c>
      <c r="G302" s="18">
        <v>0</v>
      </c>
      <c r="H302" s="18">
        <v>331</v>
      </c>
      <c r="I302" s="17" t="s">
        <v>1440</v>
      </c>
      <c r="J302" s="17" t="s">
        <v>53</v>
      </c>
      <c r="K302" s="17" t="s">
        <v>1441</v>
      </c>
      <c r="L302" s="17" t="s">
        <v>107</v>
      </c>
      <c r="M302" s="17" t="s">
        <v>14</v>
      </c>
      <c r="N302" s="19">
        <v>45674.54166666666</v>
      </c>
      <c r="O302" s="17" t="s">
        <v>133</v>
      </c>
      <c r="P302" s="17" t="s">
        <v>1442</v>
      </c>
      <c r="Q302" s="17" t="s">
        <v>1443</v>
      </c>
      <c r="R302" s="17" t="s">
        <v>99</v>
      </c>
      <c r="S302" s="17" t="s">
        <v>1278</v>
      </c>
      <c r="T302" s="19">
        <v>45674.58263888889</v>
      </c>
      <c r="U302" s="17" t="s">
        <v>1278</v>
      </c>
      <c r="V302" s="19">
        <v>45674.58263888889</v>
      </c>
    </row>
    <row r="303" spans="1:22">
      <c r="A303" s="17" t="s">
        <v>129</v>
      </c>
      <c r="B303" s="17" t="s">
        <v>141</v>
      </c>
      <c r="C303" s="17" t="s">
        <v>1432</v>
      </c>
      <c r="D303" s="17" t="s">
        <v>112</v>
      </c>
      <c r="E303" s="18">
        <v>419</v>
      </c>
      <c r="F303" s="17" t="s">
        <v>139</v>
      </c>
      <c r="G303" s="18">
        <v>0</v>
      </c>
      <c r="H303" s="18">
        <v>330</v>
      </c>
      <c r="I303" s="17" t="s">
        <v>1444</v>
      </c>
      <c r="J303" s="17" t="s">
        <v>62</v>
      </c>
      <c r="K303" s="17" t="s">
        <v>352</v>
      </c>
      <c r="L303" s="17" t="s">
        <v>105</v>
      </c>
      <c r="M303" s="17" t="s">
        <v>24</v>
      </c>
      <c r="N303" s="19">
        <v>45673.625</v>
      </c>
      <c r="O303" s="17" t="s">
        <v>132</v>
      </c>
      <c r="P303" s="17" t="s">
        <v>1445</v>
      </c>
      <c r="Q303" s="17" t="s">
        <v>1446</v>
      </c>
      <c r="R303" s="17" t="s">
        <v>99</v>
      </c>
      <c r="S303" s="17" t="s">
        <v>1278</v>
      </c>
      <c r="T303" s="19">
        <v>45674.58055555556</v>
      </c>
      <c r="U303" s="17" t="s">
        <v>1013</v>
      </c>
      <c r="V303" s="19">
        <v>45677.74166666667</v>
      </c>
    </row>
    <row r="304" spans="1:22">
      <c r="A304" s="17" t="s">
        <v>129</v>
      </c>
      <c r="B304" s="17" t="s">
        <v>141</v>
      </c>
      <c r="C304" s="17" t="s">
        <v>1432</v>
      </c>
      <c r="D304" s="17" t="s">
        <v>112</v>
      </c>
      <c r="E304" s="18">
        <v>419</v>
      </c>
      <c r="F304" s="17" t="s">
        <v>139</v>
      </c>
      <c r="G304" s="18">
        <v>0</v>
      </c>
      <c r="H304" s="18">
        <v>326</v>
      </c>
      <c r="I304" s="17" t="s">
        <v>1447</v>
      </c>
      <c r="J304" s="17" t="s">
        <v>70</v>
      </c>
      <c r="K304" s="17" t="s">
        <v>221</v>
      </c>
      <c r="L304" s="17" t="s">
        <v>104</v>
      </c>
      <c r="M304" s="17" t="s">
        <v>22</v>
      </c>
      <c r="N304" s="19">
        <v>45673</v>
      </c>
      <c r="O304" s="17" t="s">
        <v>132</v>
      </c>
      <c r="P304" s="17" t="s">
        <v>1448</v>
      </c>
      <c r="Q304" s="17" t="s">
        <v>1449</v>
      </c>
      <c r="R304" s="17" t="s">
        <v>99</v>
      </c>
      <c r="S304" s="17" t="s">
        <v>1416</v>
      </c>
      <c r="T304" s="19">
        <v>45673.70694444444</v>
      </c>
      <c r="U304" s="17" t="s">
        <v>1416</v>
      </c>
      <c r="V304" s="19">
        <v>45673.70694444444</v>
      </c>
    </row>
    <row r="305" spans="1:22">
      <c r="A305" s="17" t="s">
        <v>130</v>
      </c>
      <c r="B305" s="17" t="s">
        <v>142</v>
      </c>
      <c r="C305" s="17" t="s">
        <v>1432</v>
      </c>
      <c r="D305" s="17" t="s">
        <v>112</v>
      </c>
      <c r="E305" s="18">
        <v>419</v>
      </c>
      <c r="F305" s="17" t="s">
        <v>139</v>
      </c>
      <c r="G305" s="18">
        <v>0</v>
      </c>
      <c r="H305" s="18">
        <v>323</v>
      </c>
      <c r="I305" s="17" t="s">
        <v>1450</v>
      </c>
      <c r="J305" s="17" t="s">
        <v>62</v>
      </c>
      <c r="K305" s="17" t="s">
        <v>466</v>
      </c>
      <c r="L305" s="17" t="s">
        <v>104</v>
      </c>
      <c r="M305" s="17" t="s">
        <v>18</v>
      </c>
      <c r="N305" s="19">
        <v>45673.4375</v>
      </c>
      <c r="O305" s="17" t="s">
        <v>132</v>
      </c>
      <c r="P305" s="17" t="s">
        <v>1451</v>
      </c>
      <c r="Q305" s="17" t="s">
        <v>1452</v>
      </c>
      <c r="R305" s="17" t="s">
        <v>99</v>
      </c>
      <c r="S305" s="17" t="s">
        <v>1278</v>
      </c>
      <c r="T305" s="19">
        <v>45673.57916666667</v>
      </c>
      <c r="U305" s="17" t="s">
        <v>1278</v>
      </c>
      <c r="V305" s="19">
        <v>45743.4875</v>
      </c>
    </row>
    <row r="306" spans="1:22">
      <c r="A306" s="17" t="s">
        <v>129</v>
      </c>
      <c r="B306" s="17" t="s">
        <v>146</v>
      </c>
      <c r="C306" s="17" t="s">
        <v>1453</v>
      </c>
      <c r="D306" s="17" t="s">
        <v>112</v>
      </c>
      <c r="E306" s="18">
        <v>420</v>
      </c>
      <c r="F306" s="17" t="s">
        <v>139</v>
      </c>
      <c r="G306" s="18">
        <v>0</v>
      </c>
      <c r="H306" s="18">
        <v>318</v>
      </c>
      <c r="I306" s="17" t="s">
        <v>1454</v>
      </c>
      <c r="J306" s="17" t="s">
        <v>62</v>
      </c>
      <c r="K306" s="17" t="s">
        <v>288</v>
      </c>
      <c r="L306" s="17" t="s">
        <v>105</v>
      </c>
      <c r="M306" s="17" t="s">
        <v>1</v>
      </c>
      <c r="N306" s="19">
        <v>45672</v>
      </c>
      <c r="O306" s="17" t="s">
        <v>132</v>
      </c>
      <c r="P306" s="17" t="s">
        <v>1455</v>
      </c>
      <c r="Q306" s="17" t="s">
        <v>1456</v>
      </c>
      <c r="R306" s="17" t="s">
        <v>99</v>
      </c>
      <c r="S306" s="17" t="s">
        <v>1013</v>
      </c>
      <c r="T306" s="19">
        <v>45672.59166666667</v>
      </c>
      <c r="U306" s="17" t="s">
        <v>1013</v>
      </c>
      <c r="V306" s="19">
        <v>45672.60138888889</v>
      </c>
    </row>
    <row r="307" spans="1:22">
      <c r="A307" s="17" t="s">
        <v>129</v>
      </c>
      <c r="B307" s="17" t="s">
        <v>146</v>
      </c>
      <c r="C307" s="17" t="s">
        <v>1453</v>
      </c>
      <c r="D307" s="17" t="s">
        <v>112</v>
      </c>
      <c r="E307" s="18">
        <v>420</v>
      </c>
      <c r="F307" s="17" t="s">
        <v>139</v>
      </c>
      <c r="G307" s="18">
        <v>0</v>
      </c>
      <c r="H307" s="18">
        <v>317</v>
      </c>
      <c r="I307" s="17" t="s">
        <v>1457</v>
      </c>
      <c r="J307" s="17" t="s">
        <v>62</v>
      </c>
      <c r="K307" s="17" t="s">
        <v>288</v>
      </c>
      <c r="L307" s="17" t="s">
        <v>104</v>
      </c>
      <c r="M307" s="17"/>
      <c r="N307" s="19">
        <v>45672</v>
      </c>
      <c r="O307" s="17" t="s">
        <v>133</v>
      </c>
      <c r="P307" s="17" t="s">
        <v>1458</v>
      </c>
      <c r="Q307" s="17" t="s">
        <v>1459</v>
      </c>
      <c r="R307" s="17" t="s">
        <v>99</v>
      </c>
      <c r="S307" s="17" t="s">
        <v>1013</v>
      </c>
      <c r="T307" s="19">
        <v>45672.57708333333</v>
      </c>
      <c r="U307" s="17" t="s">
        <v>1013</v>
      </c>
      <c r="V307" s="19">
        <v>45708.71388888889</v>
      </c>
    </row>
    <row r="308" spans="1:22">
      <c r="A308" s="17" t="s">
        <v>129</v>
      </c>
      <c r="B308" s="17" t="s">
        <v>147</v>
      </c>
      <c r="C308" s="17" t="s">
        <v>1460</v>
      </c>
      <c r="D308" s="17" t="s">
        <v>112</v>
      </c>
      <c r="E308" s="18">
        <v>422</v>
      </c>
      <c r="F308" s="17" t="s">
        <v>139</v>
      </c>
      <c r="G308" s="18">
        <v>0</v>
      </c>
      <c r="H308" s="18">
        <v>310</v>
      </c>
      <c r="I308" s="17" t="s">
        <v>1461</v>
      </c>
      <c r="J308" s="17" t="s">
        <v>62</v>
      </c>
      <c r="K308" s="17" t="s">
        <v>697</v>
      </c>
      <c r="L308" s="17" t="s">
        <v>104</v>
      </c>
      <c r="M308" s="17" t="s">
        <v>22</v>
      </c>
      <c r="N308" s="19">
        <v>45670.68055555555</v>
      </c>
      <c r="O308" s="17" t="s">
        <v>133</v>
      </c>
      <c r="P308" s="17" t="s">
        <v>1462</v>
      </c>
      <c r="Q308" s="17" t="s">
        <v>1310</v>
      </c>
      <c r="R308" s="17" t="s">
        <v>99</v>
      </c>
      <c r="S308" s="17" t="s">
        <v>1278</v>
      </c>
      <c r="T308" s="19">
        <v>45670.71666666667</v>
      </c>
      <c r="U308" s="17" t="s">
        <v>1278</v>
      </c>
      <c r="V308" s="19">
        <v>45670.71666666667</v>
      </c>
    </row>
    <row r="309" spans="1:22">
      <c r="A309" s="17" t="s">
        <v>129</v>
      </c>
      <c r="B309" s="17" t="s">
        <v>141</v>
      </c>
      <c r="C309" s="17" t="s">
        <v>1463</v>
      </c>
      <c r="D309" s="17" t="s">
        <v>112</v>
      </c>
      <c r="E309" s="18">
        <v>424</v>
      </c>
      <c r="F309" s="17" t="s">
        <v>139</v>
      </c>
      <c r="G309" s="18">
        <v>0</v>
      </c>
      <c r="H309" s="18">
        <v>301</v>
      </c>
      <c r="I309" s="17" t="s">
        <v>1464</v>
      </c>
      <c r="J309" s="17" t="s">
        <v>66</v>
      </c>
      <c r="K309" s="17" t="s">
        <v>433</v>
      </c>
      <c r="L309" s="17" t="s">
        <v>104</v>
      </c>
      <c r="M309" s="17"/>
      <c r="N309" s="19">
        <v>45668.45138888889</v>
      </c>
      <c r="O309" s="17" t="s">
        <v>133</v>
      </c>
      <c r="P309" s="17" t="s">
        <v>1465</v>
      </c>
      <c r="Q309" s="17" t="s">
        <v>1466</v>
      </c>
      <c r="R309" s="17" t="s">
        <v>99</v>
      </c>
      <c r="S309" s="17" t="s">
        <v>1278</v>
      </c>
      <c r="T309" s="19">
        <v>45668.50138888889</v>
      </c>
      <c r="U309" s="17" t="s">
        <v>1278</v>
      </c>
      <c r="V309" s="19">
        <v>45715.71666666667</v>
      </c>
    </row>
    <row r="310" spans="1:22">
      <c r="A310" s="17" t="s">
        <v>129</v>
      </c>
      <c r="B310" s="17" t="s">
        <v>141</v>
      </c>
      <c r="C310" s="17" t="s">
        <v>1467</v>
      </c>
      <c r="D310" s="17" t="s">
        <v>112</v>
      </c>
      <c r="E310" s="18">
        <v>426</v>
      </c>
      <c r="F310" s="17" t="s">
        <v>139</v>
      </c>
      <c r="G310" s="18">
        <v>0</v>
      </c>
      <c r="H310" s="18">
        <v>294</v>
      </c>
      <c r="I310" s="17" t="s">
        <v>1468</v>
      </c>
      <c r="J310" s="17" t="s">
        <v>62</v>
      </c>
      <c r="K310" s="17" t="s">
        <v>352</v>
      </c>
      <c r="L310" s="17" t="s">
        <v>104</v>
      </c>
      <c r="M310" s="17" t="s">
        <v>22</v>
      </c>
      <c r="N310" s="19">
        <v>45666.53472222222</v>
      </c>
      <c r="O310" s="17" t="s">
        <v>133</v>
      </c>
      <c r="P310" s="17" t="s">
        <v>1469</v>
      </c>
      <c r="Q310" s="17" t="s">
        <v>1466</v>
      </c>
      <c r="R310" s="17" t="s">
        <v>99</v>
      </c>
      <c r="S310" s="17" t="s">
        <v>1278</v>
      </c>
      <c r="T310" s="19">
        <v>45666.64097222222</v>
      </c>
      <c r="U310" s="17" t="s">
        <v>1278</v>
      </c>
      <c r="V310" s="19">
        <v>45715.71527777778</v>
      </c>
    </row>
    <row r="311" spans="1:22">
      <c r="A311" s="17" t="s">
        <v>129</v>
      </c>
      <c r="B311" s="17" t="s">
        <v>141</v>
      </c>
      <c r="C311" s="17" t="s">
        <v>1470</v>
      </c>
      <c r="D311" s="17" t="s">
        <v>112</v>
      </c>
      <c r="E311" s="18">
        <v>429</v>
      </c>
      <c r="F311" s="17" t="s">
        <v>139</v>
      </c>
      <c r="G311" s="18">
        <v>0</v>
      </c>
      <c r="H311" s="18">
        <v>281</v>
      </c>
      <c r="I311" s="17" t="s">
        <v>1471</v>
      </c>
      <c r="J311" s="17" t="s">
        <v>38</v>
      </c>
      <c r="K311" s="17" t="s">
        <v>352</v>
      </c>
      <c r="L311" s="17" t="s">
        <v>104</v>
      </c>
      <c r="M311" s="17" t="s">
        <v>22</v>
      </c>
      <c r="N311" s="19">
        <v>45663.41666666666</v>
      </c>
      <c r="O311" s="17" t="s">
        <v>133</v>
      </c>
      <c r="P311" s="17" t="s">
        <v>1472</v>
      </c>
      <c r="Q311" s="17" t="s">
        <v>1466</v>
      </c>
      <c r="R311" s="17" t="s">
        <v>99</v>
      </c>
      <c r="S311" s="17" t="s">
        <v>1278</v>
      </c>
      <c r="T311" s="19">
        <v>45663.42916666667</v>
      </c>
      <c r="U311" s="17" t="s">
        <v>1278</v>
      </c>
      <c r="V311" s="19">
        <v>45715.71180555555</v>
      </c>
    </row>
    <row r="312" spans="1:22">
      <c r="A312" s="17" t="s">
        <v>129</v>
      </c>
      <c r="B312" s="17" t="s">
        <v>143</v>
      </c>
      <c r="C312" s="17" t="s">
        <v>1473</v>
      </c>
      <c r="D312" s="17" t="s">
        <v>112</v>
      </c>
      <c r="E312" s="18">
        <v>431</v>
      </c>
      <c r="F312" s="17" t="s">
        <v>139</v>
      </c>
      <c r="G312" s="18">
        <v>0</v>
      </c>
      <c r="H312" s="18">
        <v>278</v>
      </c>
      <c r="I312" s="17" t="s">
        <v>1474</v>
      </c>
      <c r="J312" s="17" t="s">
        <v>56</v>
      </c>
      <c r="K312" s="17" t="s">
        <v>475</v>
      </c>
      <c r="L312" s="17" t="s">
        <v>104</v>
      </c>
      <c r="M312" s="17" t="s">
        <v>8</v>
      </c>
      <c r="N312" s="19">
        <v>45661.53472222222</v>
      </c>
      <c r="O312" s="17" t="s">
        <v>133</v>
      </c>
      <c r="P312" s="17" t="s">
        <v>1475</v>
      </c>
      <c r="Q312" s="17" t="s">
        <v>1476</v>
      </c>
      <c r="R312" s="17" t="s">
        <v>99</v>
      </c>
      <c r="S312" s="17" t="s">
        <v>1278</v>
      </c>
      <c r="T312" s="19">
        <v>45661.73819444444</v>
      </c>
      <c r="U312" s="17" t="s">
        <v>1278</v>
      </c>
      <c r="V312" s="19">
        <v>45661.73819444444</v>
      </c>
    </row>
    <row r="313" spans="1:22">
      <c r="A313" s="17" t="s">
        <v>129</v>
      </c>
      <c r="B313" s="17" t="s">
        <v>141</v>
      </c>
      <c r="C313" s="17" t="s">
        <v>1477</v>
      </c>
      <c r="D313" s="17" t="s">
        <v>112</v>
      </c>
      <c r="E313" s="18">
        <v>432</v>
      </c>
      <c r="F313" s="17" t="s">
        <v>139</v>
      </c>
      <c r="G313" s="18">
        <v>0</v>
      </c>
      <c r="H313" s="18">
        <v>276</v>
      </c>
      <c r="I313" s="17" t="s">
        <v>1478</v>
      </c>
      <c r="J313" s="17" t="s">
        <v>70</v>
      </c>
      <c r="K313" s="17" t="s">
        <v>221</v>
      </c>
      <c r="L313" s="17" t="s">
        <v>17</v>
      </c>
      <c r="M313" s="17" t="s">
        <v>17</v>
      </c>
      <c r="N313" s="19">
        <v>45660</v>
      </c>
      <c r="O313" s="17" t="s">
        <v>133</v>
      </c>
      <c r="P313" s="17" t="s">
        <v>1479</v>
      </c>
      <c r="Q313" s="17" t="s">
        <v>1480</v>
      </c>
      <c r="R313" s="17" t="s">
        <v>99</v>
      </c>
      <c r="S313" s="17" t="s">
        <v>1278</v>
      </c>
      <c r="T313" s="19">
        <v>45660.86458333334</v>
      </c>
      <c r="U313" s="17" t="s">
        <v>1278</v>
      </c>
      <c r="V313" s="19">
        <v>45660.86458333334</v>
      </c>
    </row>
    <row r="314" spans="1:22">
      <c r="A314" s="17" t="s">
        <v>129</v>
      </c>
      <c r="B314" s="17" t="s">
        <v>141</v>
      </c>
      <c r="C314" s="17" t="s">
        <v>1477</v>
      </c>
      <c r="D314" s="17" t="s">
        <v>112</v>
      </c>
      <c r="E314" s="18">
        <v>432</v>
      </c>
      <c r="F314" s="17" t="s">
        <v>139</v>
      </c>
      <c r="G314" s="18">
        <v>0</v>
      </c>
      <c r="H314" s="18">
        <v>273</v>
      </c>
      <c r="I314" s="17" t="s">
        <v>1481</v>
      </c>
      <c r="J314" s="17" t="s">
        <v>62</v>
      </c>
      <c r="K314" s="17" t="s">
        <v>395</v>
      </c>
      <c r="L314" s="17" t="s">
        <v>105</v>
      </c>
      <c r="M314" s="17" t="s">
        <v>1</v>
      </c>
      <c r="N314" s="19">
        <v>45660.54166666666</v>
      </c>
      <c r="O314" s="17" t="s">
        <v>133</v>
      </c>
      <c r="P314" s="17" t="s">
        <v>1482</v>
      </c>
      <c r="Q314" s="17" t="s">
        <v>1483</v>
      </c>
      <c r="R314" s="17" t="s">
        <v>99</v>
      </c>
      <c r="S314" s="17" t="s">
        <v>1013</v>
      </c>
      <c r="T314" s="19">
        <v>45660.61111111111</v>
      </c>
      <c r="U314" s="17" t="s">
        <v>1013</v>
      </c>
      <c r="V314" s="19">
        <v>45660.61180555556</v>
      </c>
    </row>
    <row r="315" spans="1:22">
      <c r="A315" s="17" t="s">
        <v>129</v>
      </c>
      <c r="B315" s="17" t="s">
        <v>141</v>
      </c>
      <c r="C315" s="17" t="s">
        <v>1477</v>
      </c>
      <c r="D315" s="17" t="s">
        <v>112</v>
      </c>
      <c r="E315" s="18">
        <v>432</v>
      </c>
      <c r="F315" s="17" t="s">
        <v>139</v>
      </c>
      <c r="G315" s="18">
        <v>0</v>
      </c>
      <c r="H315" s="18">
        <v>272</v>
      </c>
      <c r="I315" s="17" t="s">
        <v>1484</v>
      </c>
      <c r="J315" s="17" t="s">
        <v>62</v>
      </c>
      <c r="K315" s="17" t="s">
        <v>352</v>
      </c>
      <c r="L315" s="17" t="s">
        <v>104</v>
      </c>
      <c r="M315" s="17" t="s">
        <v>3</v>
      </c>
      <c r="N315" s="19">
        <v>45660.45833333334</v>
      </c>
      <c r="O315" s="17" t="s">
        <v>133</v>
      </c>
      <c r="P315" s="17" t="s">
        <v>1485</v>
      </c>
      <c r="Q315" s="17" t="s">
        <v>1466</v>
      </c>
      <c r="R315" s="17" t="s">
        <v>99</v>
      </c>
      <c r="S315" s="17" t="s">
        <v>1278</v>
      </c>
      <c r="T315" s="19">
        <v>45660.49166666667</v>
      </c>
      <c r="U315" s="17" t="s">
        <v>1278</v>
      </c>
      <c r="V315" s="19">
        <v>45715.70972222222</v>
      </c>
    </row>
    <row r="316" spans="1:22">
      <c r="A316" s="17" t="s">
        <v>129</v>
      </c>
      <c r="B316" s="17" t="s">
        <v>143</v>
      </c>
      <c r="C316" s="17" t="s">
        <v>1486</v>
      </c>
      <c r="D316" s="17" t="s">
        <v>111</v>
      </c>
      <c r="E316" s="18">
        <v>438</v>
      </c>
      <c r="F316" s="17" t="s">
        <v>139</v>
      </c>
      <c r="G316" s="18">
        <v>0</v>
      </c>
      <c r="H316" s="18">
        <v>264</v>
      </c>
      <c r="I316" s="17" t="s">
        <v>1487</v>
      </c>
      <c r="J316" s="17" t="s">
        <v>72</v>
      </c>
      <c r="K316" s="17" t="s">
        <v>317</v>
      </c>
      <c r="L316" s="17" t="s">
        <v>105</v>
      </c>
      <c r="M316" s="17" t="s">
        <v>23</v>
      </c>
      <c r="N316" s="19">
        <v>45654.97222222222</v>
      </c>
      <c r="O316" s="17" t="s">
        <v>133</v>
      </c>
      <c r="P316" s="17" t="s">
        <v>1488</v>
      </c>
      <c r="Q316" s="17" t="s">
        <v>1489</v>
      </c>
      <c r="R316" s="17" t="s">
        <v>99</v>
      </c>
      <c r="S316" s="17" t="s">
        <v>1278</v>
      </c>
      <c r="T316" s="19">
        <v>45655.06944444445</v>
      </c>
      <c r="U316" s="17" t="s">
        <v>1278</v>
      </c>
      <c r="V316" s="19">
        <v>45655.06944444445</v>
      </c>
    </row>
    <row r="317" spans="1:22">
      <c r="A317" s="17" t="s">
        <v>129</v>
      </c>
      <c r="B317" s="17" t="s">
        <v>146</v>
      </c>
      <c r="C317" s="17" t="s">
        <v>1490</v>
      </c>
      <c r="D317" s="17" t="s">
        <v>111</v>
      </c>
      <c r="E317" s="18">
        <v>440</v>
      </c>
      <c r="F317" s="17" t="s">
        <v>139</v>
      </c>
      <c r="G317" s="18">
        <v>0</v>
      </c>
      <c r="H317" s="18">
        <v>257</v>
      </c>
      <c r="I317" s="17" t="s">
        <v>1491</v>
      </c>
      <c r="J317" s="17" t="s">
        <v>68</v>
      </c>
      <c r="K317" s="17" t="s">
        <v>288</v>
      </c>
      <c r="L317" s="17" t="s">
        <v>104</v>
      </c>
      <c r="M317" s="17" t="s">
        <v>4</v>
      </c>
      <c r="N317" s="19">
        <v>45652</v>
      </c>
      <c r="O317" s="17" t="s">
        <v>133</v>
      </c>
      <c r="P317" s="17" t="s">
        <v>1492</v>
      </c>
      <c r="Q317" s="17" t="s">
        <v>1493</v>
      </c>
      <c r="R317" s="17" t="s">
        <v>99</v>
      </c>
      <c r="S317" s="17" t="s">
        <v>1228</v>
      </c>
      <c r="T317" s="19">
        <v>45652.48472222222</v>
      </c>
      <c r="U317" s="17" t="s">
        <v>1228</v>
      </c>
      <c r="V317" s="19">
        <v>45652.48472222222</v>
      </c>
    </row>
    <row r="318" spans="1:22">
      <c r="A318" s="17" t="s">
        <v>129</v>
      </c>
      <c r="B318" s="17" t="s">
        <v>141</v>
      </c>
      <c r="C318" s="17" t="s">
        <v>1494</v>
      </c>
      <c r="D318" s="17" t="s">
        <v>111</v>
      </c>
      <c r="E318" s="18">
        <v>442</v>
      </c>
      <c r="F318" s="17" t="s">
        <v>139</v>
      </c>
      <c r="G318" s="18">
        <v>0</v>
      </c>
      <c r="H318" s="18">
        <v>252</v>
      </c>
      <c r="I318" s="17" t="s">
        <v>1495</v>
      </c>
      <c r="J318" s="17" t="s">
        <v>62</v>
      </c>
      <c r="K318" s="17" t="s">
        <v>395</v>
      </c>
      <c r="L318" s="17" t="s">
        <v>105</v>
      </c>
      <c r="M318" s="17" t="s">
        <v>6</v>
      </c>
      <c r="N318" s="19">
        <v>45650.45833333334</v>
      </c>
      <c r="O318" s="17" t="s">
        <v>132</v>
      </c>
      <c r="P318" s="17" t="s">
        <v>1496</v>
      </c>
      <c r="Q318" s="17" t="s">
        <v>1497</v>
      </c>
      <c r="R318" s="17" t="s">
        <v>99</v>
      </c>
      <c r="S318" s="17" t="s">
        <v>1278</v>
      </c>
      <c r="T318" s="19">
        <v>45650.63958333333</v>
      </c>
      <c r="U318" s="17" t="s">
        <v>1278</v>
      </c>
      <c r="V318" s="19">
        <v>45650.63958333333</v>
      </c>
    </row>
    <row r="319" spans="1:22">
      <c r="A319" s="17" t="s">
        <v>129</v>
      </c>
      <c r="B319" s="17" t="s">
        <v>147</v>
      </c>
      <c r="C319" s="17" t="s">
        <v>1494</v>
      </c>
      <c r="D319" s="17" t="s">
        <v>111</v>
      </c>
      <c r="E319" s="18">
        <v>442</v>
      </c>
      <c r="F319" s="17" t="s">
        <v>139</v>
      </c>
      <c r="G319" s="18">
        <v>0</v>
      </c>
      <c r="H319" s="18">
        <v>251</v>
      </c>
      <c r="I319" s="17" t="s">
        <v>1498</v>
      </c>
      <c r="J319" s="17" t="s">
        <v>62</v>
      </c>
      <c r="K319" s="17" t="s">
        <v>697</v>
      </c>
      <c r="L319" s="17" t="s">
        <v>104</v>
      </c>
      <c r="M319" s="17" t="s">
        <v>3</v>
      </c>
      <c r="N319" s="19">
        <v>45650.5</v>
      </c>
      <c r="O319" s="17" t="s">
        <v>132</v>
      </c>
      <c r="P319" s="17" t="s">
        <v>1499</v>
      </c>
      <c r="Q319" s="17" t="s">
        <v>1310</v>
      </c>
      <c r="R319" s="17" t="s">
        <v>99</v>
      </c>
      <c r="S319" s="17" t="s">
        <v>1278</v>
      </c>
      <c r="T319" s="19">
        <v>45650.52986111111</v>
      </c>
      <c r="U319" s="17" t="s">
        <v>1278</v>
      </c>
      <c r="V319" s="19">
        <v>45650.52986111111</v>
      </c>
    </row>
    <row r="320" spans="1:22">
      <c r="A320" s="17" t="s">
        <v>129</v>
      </c>
      <c r="B320" s="17" t="s">
        <v>143</v>
      </c>
      <c r="C320" s="17" t="s">
        <v>1494</v>
      </c>
      <c r="D320" s="17" t="s">
        <v>111</v>
      </c>
      <c r="E320" s="18">
        <v>442</v>
      </c>
      <c r="F320" s="17" t="s">
        <v>139</v>
      </c>
      <c r="G320" s="18">
        <v>0</v>
      </c>
      <c r="H320" s="18">
        <v>250</v>
      </c>
      <c r="I320" s="17" t="s">
        <v>1500</v>
      </c>
      <c r="J320" s="17" t="s">
        <v>72</v>
      </c>
      <c r="K320" s="17" t="s">
        <v>317</v>
      </c>
      <c r="L320" s="17" t="s">
        <v>104</v>
      </c>
      <c r="M320" s="17" t="s">
        <v>8</v>
      </c>
      <c r="N320" s="19">
        <v>45650.45833333334</v>
      </c>
      <c r="O320" s="17" t="s">
        <v>132</v>
      </c>
      <c r="P320" s="17" t="s">
        <v>1501</v>
      </c>
      <c r="Q320" s="17" t="s">
        <v>1502</v>
      </c>
      <c r="R320" s="17" t="s">
        <v>99</v>
      </c>
      <c r="S320" s="17" t="s">
        <v>1278</v>
      </c>
      <c r="T320" s="19">
        <v>45650.52013888889</v>
      </c>
      <c r="U320" s="17" t="s">
        <v>1013</v>
      </c>
      <c r="V320" s="19">
        <v>45652.44861111111</v>
      </c>
    </row>
    <row r="321" spans="1:22">
      <c r="A321" s="17" t="s">
        <v>130</v>
      </c>
      <c r="B321" s="17" t="s">
        <v>142</v>
      </c>
      <c r="C321" s="17" t="s">
        <v>1503</v>
      </c>
      <c r="D321" s="17" t="s">
        <v>111</v>
      </c>
      <c r="E321" s="18">
        <v>444</v>
      </c>
      <c r="F321" s="17" t="s">
        <v>139</v>
      </c>
      <c r="G321" s="18">
        <v>0</v>
      </c>
      <c r="H321" s="18">
        <v>245</v>
      </c>
      <c r="I321" s="17" t="s">
        <v>1504</v>
      </c>
      <c r="J321" s="17" t="s">
        <v>73</v>
      </c>
      <c r="K321" s="17" t="s">
        <v>365</v>
      </c>
      <c r="L321" s="17" t="s">
        <v>104</v>
      </c>
      <c r="M321" s="17" t="s">
        <v>8</v>
      </c>
      <c r="N321" s="19">
        <v>45648.90972222222</v>
      </c>
      <c r="O321" s="17" t="s">
        <v>132</v>
      </c>
      <c r="P321" s="17" t="s">
        <v>1505</v>
      </c>
      <c r="Q321" s="17" t="s">
        <v>1506</v>
      </c>
      <c r="R321" s="17" t="s">
        <v>99</v>
      </c>
      <c r="S321" s="17" t="s">
        <v>1278</v>
      </c>
      <c r="T321" s="19">
        <v>45649.63472222222</v>
      </c>
      <c r="U321" s="17" t="s">
        <v>1278</v>
      </c>
      <c r="V321" s="19">
        <v>45649.63472222222</v>
      </c>
    </row>
    <row r="322" spans="1:22">
      <c r="A322" s="17" t="s">
        <v>129</v>
      </c>
      <c r="B322" s="17" t="s">
        <v>143</v>
      </c>
      <c r="C322" s="17" t="s">
        <v>1507</v>
      </c>
      <c r="D322" s="17" t="s">
        <v>111</v>
      </c>
      <c r="E322" s="18">
        <v>445</v>
      </c>
      <c r="F322" s="17" t="s">
        <v>139</v>
      </c>
      <c r="G322" s="18">
        <v>0</v>
      </c>
      <c r="H322" s="18">
        <v>241</v>
      </c>
      <c r="I322" s="17" t="s">
        <v>1508</v>
      </c>
      <c r="J322" s="17" t="s">
        <v>62</v>
      </c>
      <c r="K322" s="17" t="s">
        <v>360</v>
      </c>
      <c r="L322" s="17" t="s">
        <v>104</v>
      </c>
      <c r="M322" s="17" t="s">
        <v>11</v>
      </c>
      <c r="N322" s="19">
        <v>45647.56944444445</v>
      </c>
      <c r="O322" s="17" t="s">
        <v>133</v>
      </c>
      <c r="P322" s="17" t="s">
        <v>1509</v>
      </c>
      <c r="Q322" s="17" t="s">
        <v>1510</v>
      </c>
      <c r="R322" s="17" t="s">
        <v>99</v>
      </c>
      <c r="S322" s="17" t="s">
        <v>1278</v>
      </c>
      <c r="T322" s="19">
        <v>45647.6625</v>
      </c>
      <c r="U322" s="17" t="s">
        <v>1278</v>
      </c>
      <c r="V322" s="19">
        <v>45708.71736111111</v>
      </c>
    </row>
    <row r="323" spans="1:22">
      <c r="A323" s="17" t="s">
        <v>129</v>
      </c>
      <c r="B323" s="17" t="s">
        <v>141</v>
      </c>
      <c r="C323" s="17" t="s">
        <v>1511</v>
      </c>
      <c r="D323" s="17" t="s">
        <v>111</v>
      </c>
      <c r="E323" s="18">
        <v>447</v>
      </c>
      <c r="F323" s="17" t="s">
        <v>139</v>
      </c>
      <c r="G323" s="18">
        <v>0</v>
      </c>
      <c r="H323" s="18">
        <v>234</v>
      </c>
      <c r="I323" s="17" t="s">
        <v>1512</v>
      </c>
      <c r="J323" s="17" t="s">
        <v>39</v>
      </c>
      <c r="K323" s="17" t="s">
        <v>241</v>
      </c>
      <c r="L323" s="17" t="s">
        <v>104</v>
      </c>
      <c r="M323" s="17" t="s">
        <v>22</v>
      </c>
      <c r="N323" s="19">
        <v>45645.91666666666</v>
      </c>
      <c r="O323" s="17" t="s">
        <v>133</v>
      </c>
      <c r="P323" s="17" t="s">
        <v>1513</v>
      </c>
      <c r="Q323" s="17" t="s">
        <v>1514</v>
      </c>
      <c r="R323" s="17" t="s">
        <v>99</v>
      </c>
      <c r="S323" s="17" t="s">
        <v>1278</v>
      </c>
      <c r="T323" s="19">
        <v>45646.31111111111</v>
      </c>
      <c r="U323" s="17" t="s">
        <v>1278</v>
      </c>
      <c r="V323" s="19">
        <v>45715.70694444444</v>
      </c>
    </row>
    <row r="324" spans="1:22">
      <c r="A324" s="17" t="s">
        <v>129</v>
      </c>
      <c r="B324" s="17" t="s">
        <v>143</v>
      </c>
      <c r="C324" s="17" t="s">
        <v>1511</v>
      </c>
      <c r="D324" s="17" t="s">
        <v>111</v>
      </c>
      <c r="E324" s="18">
        <v>447</v>
      </c>
      <c r="F324" s="17" t="s">
        <v>139</v>
      </c>
      <c r="G324" s="18">
        <v>0</v>
      </c>
      <c r="H324" s="18">
        <v>233</v>
      </c>
      <c r="I324" s="17" t="s">
        <v>1515</v>
      </c>
      <c r="J324" s="17" t="s">
        <v>36</v>
      </c>
      <c r="K324" s="17" t="s">
        <v>360</v>
      </c>
      <c r="L324" s="17" t="s">
        <v>104</v>
      </c>
      <c r="M324" s="17" t="s">
        <v>22</v>
      </c>
      <c r="N324" s="19">
        <v>45645.91666666666</v>
      </c>
      <c r="O324" s="17" t="s">
        <v>132</v>
      </c>
      <c r="P324" s="17" t="s">
        <v>1516</v>
      </c>
      <c r="Q324" s="17" t="s">
        <v>1517</v>
      </c>
      <c r="R324" s="17" t="s">
        <v>99</v>
      </c>
      <c r="S324" s="17" t="s">
        <v>1278</v>
      </c>
      <c r="T324" s="19">
        <v>45646.30902777778</v>
      </c>
      <c r="U324" s="17" t="s">
        <v>1278</v>
      </c>
      <c r="V324" s="19">
        <v>45708.77847222222</v>
      </c>
    </row>
    <row r="325" spans="1:22">
      <c r="A325" s="17" t="s">
        <v>129</v>
      </c>
      <c r="B325" s="17" t="s">
        <v>141</v>
      </c>
      <c r="C325" s="17" t="s">
        <v>1511</v>
      </c>
      <c r="D325" s="17" t="s">
        <v>111</v>
      </c>
      <c r="E325" s="18">
        <v>447</v>
      </c>
      <c r="F325" s="17" t="s">
        <v>139</v>
      </c>
      <c r="G325" s="18">
        <v>0</v>
      </c>
      <c r="H325" s="18">
        <v>225</v>
      </c>
      <c r="I325" s="17" t="s">
        <v>1518</v>
      </c>
      <c r="J325" s="17" t="s">
        <v>69</v>
      </c>
      <c r="K325" s="17" t="s">
        <v>241</v>
      </c>
      <c r="L325" s="17" t="s">
        <v>105</v>
      </c>
      <c r="M325" s="17" t="s">
        <v>25</v>
      </c>
      <c r="N325" s="19">
        <v>45645.25</v>
      </c>
      <c r="O325" s="17" t="s">
        <v>132</v>
      </c>
      <c r="P325" s="17" t="s">
        <v>1519</v>
      </c>
      <c r="Q325" s="17" t="s">
        <v>1520</v>
      </c>
      <c r="R325" s="17" t="s">
        <v>99</v>
      </c>
      <c r="S325" s="17" t="s">
        <v>1278</v>
      </c>
      <c r="T325" s="19">
        <v>45645.33402777778</v>
      </c>
      <c r="U325" s="17" t="s">
        <v>1278</v>
      </c>
      <c r="V325" s="19">
        <v>45645.33402777778</v>
      </c>
    </row>
    <row r="326" spans="1:22">
      <c r="A326" s="17" t="s">
        <v>129</v>
      </c>
      <c r="B326" s="17" t="s">
        <v>141</v>
      </c>
      <c r="C326" s="17" t="s">
        <v>1521</v>
      </c>
      <c r="D326" s="17" t="s">
        <v>111</v>
      </c>
      <c r="E326" s="18">
        <v>448</v>
      </c>
      <c r="F326" s="17" t="s">
        <v>139</v>
      </c>
      <c r="G326" s="18">
        <v>0</v>
      </c>
      <c r="H326" s="18">
        <v>224</v>
      </c>
      <c r="I326" s="17" t="s">
        <v>1522</v>
      </c>
      <c r="J326" s="17" t="s">
        <v>69</v>
      </c>
      <c r="K326" s="17" t="s">
        <v>241</v>
      </c>
      <c r="L326" s="17" t="s">
        <v>104</v>
      </c>
      <c r="M326" s="17" t="s">
        <v>18</v>
      </c>
      <c r="N326" s="19">
        <v>45644.95833333334</v>
      </c>
      <c r="O326" s="17" t="s">
        <v>132</v>
      </c>
      <c r="P326" s="17" t="s">
        <v>1523</v>
      </c>
      <c r="Q326" s="17" t="s">
        <v>1524</v>
      </c>
      <c r="R326" s="17" t="s">
        <v>99</v>
      </c>
      <c r="S326" s="17" t="s">
        <v>1278</v>
      </c>
      <c r="T326" s="19">
        <v>45645.33263888889</v>
      </c>
      <c r="U326" s="17" t="s">
        <v>1278</v>
      </c>
      <c r="V326" s="19">
        <v>45715.70416666667</v>
      </c>
    </row>
    <row r="327" spans="1:22">
      <c r="A327" s="17" t="s">
        <v>129</v>
      </c>
      <c r="B327" s="17" t="s">
        <v>141</v>
      </c>
      <c r="C327" s="17" t="s">
        <v>1521</v>
      </c>
      <c r="D327" s="17" t="s">
        <v>111</v>
      </c>
      <c r="E327" s="18">
        <v>448</v>
      </c>
      <c r="F327" s="17" t="s">
        <v>139</v>
      </c>
      <c r="G327" s="18">
        <v>0</v>
      </c>
      <c r="H327" s="18">
        <v>223</v>
      </c>
      <c r="I327" s="17" t="s">
        <v>1525</v>
      </c>
      <c r="J327" s="17" t="s">
        <v>69</v>
      </c>
      <c r="K327" s="17" t="s">
        <v>241</v>
      </c>
      <c r="L327" s="17" t="s">
        <v>17</v>
      </c>
      <c r="M327" s="17" t="s">
        <v>17</v>
      </c>
      <c r="N327" s="19">
        <v>45644</v>
      </c>
      <c r="O327" s="17" t="s">
        <v>133</v>
      </c>
      <c r="P327" s="17" t="s">
        <v>1526</v>
      </c>
      <c r="Q327" s="17" t="s">
        <v>1527</v>
      </c>
      <c r="R327" s="17" t="s">
        <v>99</v>
      </c>
      <c r="S327" s="17" t="s">
        <v>1528</v>
      </c>
      <c r="T327" s="19">
        <v>45644.70486111111</v>
      </c>
      <c r="U327" s="17" t="s">
        <v>1528</v>
      </c>
      <c r="V327" s="19">
        <v>45644.70486111111</v>
      </c>
    </row>
    <row r="328" spans="1:22">
      <c r="A328" s="17" t="s">
        <v>129</v>
      </c>
      <c r="B328" s="17" t="s">
        <v>141</v>
      </c>
      <c r="C328" s="17" t="s">
        <v>1521</v>
      </c>
      <c r="D328" s="17" t="s">
        <v>111</v>
      </c>
      <c r="E328" s="18">
        <v>448</v>
      </c>
      <c r="F328" s="17" t="s">
        <v>139</v>
      </c>
      <c r="G328" s="18">
        <v>0</v>
      </c>
      <c r="H328" s="18">
        <v>221</v>
      </c>
      <c r="I328" s="17" t="s">
        <v>1529</v>
      </c>
      <c r="J328" s="17" t="s">
        <v>66</v>
      </c>
      <c r="K328" s="17" t="s">
        <v>433</v>
      </c>
      <c r="L328" s="17" t="s">
        <v>104</v>
      </c>
      <c r="M328" s="17" t="s">
        <v>3</v>
      </c>
      <c r="N328" s="19">
        <v>45644.625</v>
      </c>
      <c r="O328" s="17" t="s">
        <v>132</v>
      </c>
      <c r="P328" s="17" t="s">
        <v>1530</v>
      </c>
      <c r="Q328" s="17" t="s">
        <v>1531</v>
      </c>
      <c r="R328" s="17" t="s">
        <v>99</v>
      </c>
      <c r="S328" s="17" t="s">
        <v>1278</v>
      </c>
      <c r="T328" s="19">
        <v>45644.66944444444</v>
      </c>
      <c r="U328" s="17" t="s">
        <v>1278</v>
      </c>
      <c r="V328" s="19">
        <v>45715.70069444444</v>
      </c>
    </row>
    <row r="329" spans="1:22">
      <c r="A329" s="17" t="s">
        <v>129</v>
      </c>
      <c r="B329" s="17" t="s">
        <v>143</v>
      </c>
      <c r="C329" s="17" t="s">
        <v>1532</v>
      </c>
      <c r="D329" s="17" t="s">
        <v>111</v>
      </c>
      <c r="E329" s="18">
        <v>449</v>
      </c>
      <c r="F329" s="17" t="s">
        <v>139</v>
      </c>
      <c r="G329" s="18">
        <v>0</v>
      </c>
      <c r="H329" s="18">
        <v>218</v>
      </c>
      <c r="I329" s="17" t="s">
        <v>1533</v>
      </c>
      <c r="J329" s="17" t="s">
        <v>62</v>
      </c>
      <c r="K329" s="17" t="s">
        <v>360</v>
      </c>
      <c r="L329" s="17" t="s">
        <v>105</v>
      </c>
      <c r="M329" s="17" t="s">
        <v>25</v>
      </c>
      <c r="N329" s="19">
        <v>45643.79166666666</v>
      </c>
      <c r="O329" s="17" t="s">
        <v>132</v>
      </c>
      <c r="P329" s="17" t="s">
        <v>1534</v>
      </c>
      <c r="Q329" s="17" t="s">
        <v>1535</v>
      </c>
      <c r="R329" s="17" t="s">
        <v>99</v>
      </c>
      <c r="S329" s="17" t="s">
        <v>1278</v>
      </c>
      <c r="T329" s="19">
        <v>45643.83819444444</v>
      </c>
      <c r="U329" s="17" t="s">
        <v>1278</v>
      </c>
      <c r="V329" s="19">
        <v>45643.83819444444</v>
      </c>
    </row>
    <row r="330" spans="1:22">
      <c r="A330" s="17" t="s">
        <v>129</v>
      </c>
      <c r="B330" s="17" t="s">
        <v>146</v>
      </c>
      <c r="C330" s="17" t="s">
        <v>1532</v>
      </c>
      <c r="D330" s="17" t="s">
        <v>111</v>
      </c>
      <c r="E330" s="18">
        <v>449</v>
      </c>
      <c r="F330" s="17" t="s">
        <v>139</v>
      </c>
      <c r="G330" s="18">
        <v>0</v>
      </c>
      <c r="H330" s="18">
        <v>214</v>
      </c>
      <c r="I330" s="17" t="s">
        <v>1536</v>
      </c>
      <c r="J330" s="17" t="s">
        <v>62</v>
      </c>
      <c r="K330" s="17" t="s">
        <v>288</v>
      </c>
      <c r="L330" s="17" t="s">
        <v>104</v>
      </c>
      <c r="M330" s="17" t="s">
        <v>3</v>
      </c>
      <c r="N330" s="19">
        <v>45643.66666666666</v>
      </c>
      <c r="O330" s="17" t="s">
        <v>132</v>
      </c>
      <c r="P330" s="17" t="s">
        <v>1537</v>
      </c>
      <c r="Q330" s="17" t="s">
        <v>1538</v>
      </c>
      <c r="R330" s="17" t="s">
        <v>99</v>
      </c>
      <c r="S330" s="17" t="s">
        <v>1278</v>
      </c>
      <c r="T330" s="19">
        <v>45643.70277777778</v>
      </c>
      <c r="U330" s="17" t="s">
        <v>1278</v>
      </c>
      <c r="V330" s="19">
        <v>45708.77916666667</v>
      </c>
    </row>
    <row r="331" spans="1:22">
      <c r="A331" s="17" t="s">
        <v>129</v>
      </c>
      <c r="B331" s="17" t="s">
        <v>141</v>
      </c>
      <c r="C331" s="17" t="s">
        <v>1539</v>
      </c>
      <c r="D331" s="17" t="s">
        <v>111</v>
      </c>
      <c r="E331" s="18">
        <v>453</v>
      </c>
      <c r="F331" s="17" t="s">
        <v>139</v>
      </c>
      <c r="G331" s="18">
        <v>0</v>
      </c>
      <c r="H331" s="18">
        <v>207</v>
      </c>
      <c r="I331" s="17" t="s">
        <v>1540</v>
      </c>
      <c r="J331" s="17" t="s">
        <v>62</v>
      </c>
      <c r="K331" s="17" t="s">
        <v>352</v>
      </c>
      <c r="L331" s="17" t="s">
        <v>105</v>
      </c>
      <c r="M331" s="17" t="s">
        <v>1</v>
      </c>
      <c r="N331" s="19">
        <v>45639.40972222222</v>
      </c>
      <c r="O331" s="17" t="s">
        <v>133</v>
      </c>
      <c r="P331" s="17" t="s">
        <v>1541</v>
      </c>
      <c r="Q331" s="17" t="s">
        <v>1542</v>
      </c>
      <c r="R331" s="17" t="s">
        <v>99</v>
      </c>
      <c r="S331" s="17" t="s">
        <v>1278</v>
      </c>
      <c r="T331" s="19">
        <v>45642.73680555556</v>
      </c>
      <c r="U331" s="17" t="s">
        <v>1013</v>
      </c>
      <c r="V331" s="19">
        <v>45660.57847222222</v>
      </c>
    </row>
    <row r="332" spans="1:22">
      <c r="A332" s="17" t="s">
        <v>129</v>
      </c>
      <c r="B332" s="17" t="s">
        <v>147</v>
      </c>
      <c r="C332" s="17" t="s">
        <v>1543</v>
      </c>
      <c r="D332" s="17" t="s">
        <v>111</v>
      </c>
      <c r="E332" s="18">
        <v>462</v>
      </c>
      <c r="F332" s="17" t="s">
        <v>139</v>
      </c>
      <c r="G332" s="18">
        <v>0</v>
      </c>
      <c r="H332" s="18">
        <v>198</v>
      </c>
      <c r="I332" s="17" t="s">
        <v>1544</v>
      </c>
      <c r="J332" s="17" t="s">
        <v>62</v>
      </c>
      <c r="K332" s="17" t="s">
        <v>697</v>
      </c>
      <c r="L332" s="17" t="s">
        <v>105</v>
      </c>
      <c r="M332" s="17" t="s">
        <v>24</v>
      </c>
      <c r="N332" s="19">
        <v>45630.97222222222</v>
      </c>
      <c r="O332" s="17" t="s">
        <v>132</v>
      </c>
      <c r="P332" s="17" t="s">
        <v>1545</v>
      </c>
      <c r="Q332" s="17" t="s">
        <v>1546</v>
      </c>
      <c r="R332" s="17" t="s">
        <v>99</v>
      </c>
      <c r="S332" s="17" t="s">
        <v>1278</v>
      </c>
      <c r="T332" s="19">
        <v>45640.63958333333</v>
      </c>
      <c r="U332" s="17" t="s">
        <v>1013</v>
      </c>
      <c r="V332" s="19">
        <v>45649.56736111111</v>
      </c>
    </row>
    <row r="333" spans="1:22">
      <c r="A333" s="17" t="s">
        <v>129</v>
      </c>
      <c r="B333" s="17" t="s">
        <v>141</v>
      </c>
      <c r="C333" s="17" t="s">
        <v>1539</v>
      </c>
      <c r="D333" s="17" t="s">
        <v>111</v>
      </c>
      <c r="E333" s="18">
        <v>453</v>
      </c>
      <c r="F333" s="17" t="s">
        <v>139</v>
      </c>
      <c r="G333" s="18">
        <v>0</v>
      </c>
      <c r="H333" s="18">
        <v>190</v>
      </c>
      <c r="I333" s="17" t="s">
        <v>1547</v>
      </c>
      <c r="J333" s="17" t="s">
        <v>62</v>
      </c>
      <c r="K333" s="17" t="s">
        <v>439</v>
      </c>
      <c r="L333" s="17" t="s">
        <v>105</v>
      </c>
      <c r="M333" s="17" t="s">
        <v>23</v>
      </c>
      <c r="N333" s="19">
        <v>45639</v>
      </c>
      <c r="O333" s="17" t="s">
        <v>133</v>
      </c>
      <c r="P333" s="17" t="s">
        <v>1548</v>
      </c>
      <c r="Q333" s="17" t="s">
        <v>1549</v>
      </c>
      <c r="R333" s="17" t="s">
        <v>99</v>
      </c>
      <c r="S333" s="17" t="s">
        <v>1278</v>
      </c>
      <c r="T333" s="19">
        <v>45639.57013888889</v>
      </c>
      <c r="U333" s="17" t="s">
        <v>1278</v>
      </c>
      <c r="V333" s="19">
        <v>45639.57013888889</v>
      </c>
    </row>
    <row r="334" spans="1:22">
      <c r="A334" s="17" t="s">
        <v>129</v>
      </c>
      <c r="B334" s="17" t="s">
        <v>143</v>
      </c>
      <c r="C334" s="17" t="s">
        <v>1539</v>
      </c>
      <c r="D334" s="17" t="s">
        <v>111</v>
      </c>
      <c r="E334" s="18">
        <v>453</v>
      </c>
      <c r="F334" s="17" t="s">
        <v>139</v>
      </c>
      <c r="G334" s="18">
        <v>0</v>
      </c>
      <c r="H334" s="18">
        <v>189</v>
      </c>
      <c r="I334" s="17" t="s">
        <v>1550</v>
      </c>
      <c r="J334" s="17" t="s">
        <v>72</v>
      </c>
      <c r="K334" s="17" t="s">
        <v>317</v>
      </c>
      <c r="L334" s="17" t="s">
        <v>104</v>
      </c>
      <c r="M334" s="17" t="s">
        <v>20</v>
      </c>
      <c r="N334" s="19">
        <v>45639</v>
      </c>
      <c r="O334" s="17" t="s">
        <v>132</v>
      </c>
      <c r="P334" s="17" t="s">
        <v>1551</v>
      </c>
      <c r="Q334" s="17" t="s">
        <v>1552</v>
      </c>
      <c r="R334" s="17" t="s">
        <v>99</v>
      </c>
      <c r="S334" s="17" t="s">
        <v>1278</v>
      </c>
      <c r="T334" s="19">
        <v>45639.45138888889</v>
      </c>
      <c r="U334" s="17" t="s">
        <v>1278</v>
      </c>
      <c r="V334" s="19">
        <v>45639.45138888889</v>
      </c>
    </row>
    <row r="335" spans="1:22">
      <c r="A335" s="17" t="s">
        <v>129</v>
      </c>
      <c r="B335" s="17" t="s">
        <v>146</v>
      </c>
      <c r="C335" s="17" t="s">
        <v>1553</v>
      </c>
      <c r="D335" s="17" t="s">
        <v>111</v>
      </c>
      <c r="E335" s="18">
        <v>455</v>
      </c>
      <c r="F335" s="17" t="s">
        <v>139</v>
      </c>
      <c r="G335" s="18">
        <v>0</v>
      </c>
      <c r="H335" s="18">
        <v>183</v>
      </c>
      <c r="I335" s="17" t="s">
        <v>1554</v>
      </c>
      <c r="J335" s="17" t="s">
        <v>62</v>
      </c>
      <c r="K335" s="17" t="s">
        <v>1125</v>
      </c>
      <c r="L335" s="17" t="s">
        <v>105</v>
      </c>
      <c r="M335" s="17" t="s">
        <v>27</v>
      </c>
      <c r="N335" s="19">
        <v>45637.58333333334</v>
      </c>
      <c r="O335" s="17" t="s">
        <v>132</v>
      </c>
      <c r="P335" s="17" t="s">
        <v>1555</v>
      </c>
      <c r="Q335" s="17" t="s">
        <v>1556</v>
      </c>
      <c r="R335" s="17" t="s">
        <v>99</v>
      </c>
      <c r="S335" s="17" t="s">
        <v>1278</v>
      </c>
      <c r="T335" s="19">
        <v>45638.3875</v>
      </c>
      <c r="U335" s="17" t="s">
        <v>1013</v>
      </c>
      <c r="V335" s="19">
        <v>45716.59097222222</v>
      </c>
    </row>
    <row r="336" spans="1:22">
      <c r="A336" s="17" t="s">
        <v>129</v>
      </c>
      <c r="B336" s="17" t="s">
        <v>143</v>
      </c>
      <c r="C336" s="17" t="s">
        <v>1557</v>
      </c>
      <c r="D336" s="17" t="s">
        <v>111</v>
      </c>
      <c r="E336" s="18">
        <v>456</v>
      </c>
      <c r="F336" s="17" t="s">
        <v>139</v>
      </c>
      <c r="G336" s="18">
        <v>0</v>
      </c>
      <c r="H336" s="18">
        <v>170</v>
      </c>
      <c r="I336" s="17" t="s">
        <v>1558</v>
      </c>
      <c r="J336" s="17" t="s">
        <v>62</v>
      </c>
      <c r="K336" s="17" t="s">
        <v>360</v>
      </c>
      <c r="L336" s="17" t="s">
        <v>105</v>
      </c>
      <c r="M336" s="17" t="s">
        <v>27</v>
      </c>
      <c r="N336" s="19">
        <v>45636.625</v>
      </c>
      <c r="O336" s="17" t="s">
        <v>132</v>
      </c>
      <c r="P336" s="17" t="s">
        <v>1559</v>
      </c>
      <c r="Q336" s="17" t="s">
        <v>1560</v>
      </c>
      <c r="R336" s="17" t="s">
        <v>99</v>
      </c>
      <c r="S336" s="17" t="s">
        <v>1278</v>
      </c>
      <c r="T336" s="19">
        <v>45636.70416666667</v>
      </c>
      <c r="U336" s="17" t="s">
        <v>1278</v>
      </c>
      <c r="V336" s="19">
        <v>45636.70416666667</v>
      </c>
    </row>
    <row r="337" spans="1:22">
      <c r="A337" s="17" t="s">
        <v>129</v>
      </c>
      <c r="B337" s="17" t="s">
        <v>143</v>
      </c>
      <c r="C337" s="17" t="s">
        <v>1557</v>
      </c>
      <c r="D337" s="17" t="s">
        <v>111</v>
      </c>
      <c r="E337" s="18">
        <v>456</v>
      </c>
      <c r="F337" s="17" t="s">
        <v>139</v>
      </c>
      <c r="G337" s="18">
        <v>0</v>
      </c>
      <c r="H337" s="18">
        <v>165</v>
      </c>
      <c r="I337" s="17" t="s">
        <v>1561</v>
      </c>
      <c r="J337" s="17" t="s">
        <v>62</v>
      </c>
      <c r="K337" s="17" t="s">
        <v>451</v>
      </c>
      <c r="L337" s="17" t="s">
        <v>17</v>
      </c>
      <c r="M337" s="17" t="s">
        <v>17</v>
      </c>
      <c r="N337" s="19">
        <v>45636.52777777778</v>
      </c>
      <c r="O337" s="17" t="s">
        <v>132</v>
      </c>
      <c r="P337" s="17" t="s">
        <v>1562</v>
      </c>
      <c r="Q337" s="17" t="s">
        <v>1563</v>
      </c>
      <c r="R337" s="17" t="s">
        <v>99</v>
      </c>
      <c r="S337" s="17" t="s">
        <v>1278</v>
      </c>
      <c r="T337" s="19">
        <v>45636.54583333333</v>
      </c>
      <c r="U337" s="17" t="s">
        <v>1278</v>
      </c>
      <c r="V337" s="19">
        <v>45636.54583333333</v>
      </c>
    </row>
    <row r="338" spans="1:22">
      <c r="A338" s="17" t="s">
        <v>129</v>
      </c>
      <c r="B338" s="17" t="s">
        <v>141</v>
      </c>
      <c r="C338" s="17" t="s">
        <v>1564</v>
      </c>
      <c r="D338" s="17" t="s">
        <v>111</v>
      </c>
      <c r="E338" s="18">
        <v>459</v>
      </c>
      <c r="F338" s="17" t="s">
        <v>139</v>
      </c>
      <c r="G338" s="18">
        <v>0</v>
      </c>
      <c r="H338" s="18">
        <v>157</v>
      </c>
      <c r="I338" s="17" t="s">
        <v>1565</v>
      </c>
      <c r="J338" s="17" t="s">
        <v>62</v>
      </c>
      <c r="K338" s="17" t="s">
        <v>352</v>
      </c>
      <c r="L338" s="17" t="s">
        <v>105</v>
      </c>
      <c r="M338" s="17" t="s">
        <v>6</v>
      </c>
      <c r="N338" s="19">
        <v>45633</v>
      </c>
      <c r="O338" s="17" t="s">
        <v>132</v>
      </c>
      <c r="P338" s="17" t="s">
        <v>1566</v>
      </c>
      <c r="Q338" s="17" t="s">
        <v>1567</v>
      </c>
      <c r="R338" s="17" t="s">
        <v>99</v>
      </c>
      <c r="S338" s="17" t="s">
        <v>1278</v>
      </c>
      <c r="T338" s="19">
        <v>45633.92708333334</v>
      </c>
      <c r="U338" s="17" t="s">
        <v>1278</v>
      </c>
      <c r="V338" s="19">
        <v>45633.92708333334</v>
      </c>
    </row>
    <row r="339" spans="1:22">
      <c r="A339" s="17" t="s">
        <v>129</v>
      </c>
      <c r="B339" s="17" t="s">
        <v>141</v>
      </c>
      <c r="C339" s="17" t="s">
        <v>1568</v>
      </c>
      <c r="D339" s="17" t="s">
        <v>111</v>
      </c>
      <c r="E339" s="18">
        <v>464</v>
      </c>
      <c r="F339" s="17" t="s">
        <v>139</v>
      </c>
      <c r="G339" s="18">
        <v>0</v>
      </c>
      <c r="H339" s="18">
        <v>113</v>
      </c>
      <c r="I339" s="17" t="s">
        <v>1569</v>
      </c>
      <c r="J339" s="17" t="s">
        <v>62</v>
      </c>
      <c r="K339" s="17" t="s">
        <v>352</v>
      </c>
      <c r="L339" s="17" t="s">
        <v>105</v>
      </c>
      <c r="M339" s="17" t="s">
        <v>1</v>
      </c>
      <c r="N339" s="19">
        <v>45628.27083333334</v>
      </c>
      <c r="O339" s="17" t="s">
        <v>132</v>
      </c>
      <c r="P339" s="17" t="s">
        <v>1570</v>
      </c>
      <c r="Q339" s="17" t="s">
        <v>1571</v>
      </c>
      <c r="R339" s="17" t="s">
        <v>99</v>
      </c>
      <c r="S339" s="17" t="s">
        <v>1278</v>
      </c>
      <c r="T339" s="19">
        <v>45628.39861111111</v>
      </c>
      <c r="U339" s="17" t="s">
        <v>1013</v>
      </c>
      <c r="V339" s="19">
        <v>45649.6</v>
      </c>
    </row>
    <row r="340" spans="1:22">
      <c r="A340" s="17" t="s">
        <v>129</v>
      </c>
      <c r="B340" s="17" t="s">
        <v>141</v>
      </c>
      <c r="C340" s="17" t="s">
        <v>1572</v>
      </c>
      <c r="D340" s="17" t="s">
        <v>110</v>
      </c>
      <c r="E340" s="18">
        <v>468</v>
      </c>
      <c r="F340" s="17" t="s">
        <v>139</v>
      </c>
      <c r="G340" s="18">
        <v>0</v>
      </c>
      <c r="H340" s="18">
        <v>93</v>
      </c>
      <c r="I340" s="17" t="s">
        <v>1573</v>
      </c>
      <c r="J340" s="17" t="s">
        <v>62</v>
      </c>
      <c r="K340" s="17" t="s">
        <v>395</v>
      </c>
      <c r="L340" s="17" t="s">
        <v>107</v>
      </c>
      <c r="M340" s="17" t="s">
        <v>14</v>
      </c>
      <c r="N340" s="19">
        <v>45624</v>
      </c>
      <c r="O340" s="17" t="s">
        <v>132</v>
      </c>
      <c r="P340" s="17" t="s">
        <v>1574</v>
      </c>
      <c r="Q340" s="17" t="s">
        <v>1575</v>
      </c>
      <c r="R340" s="17" t="s">
        <v>99</v>
      </c>
      <c r="S340" s="17" t="s">
        <v>1278</v>
      </c>
      <c r="T340" s="19">
        <v>45624.38541666666</v>
      </c>
      <c r="U340" s="17" t="s">
        <v>1278</v>
      </c>
      <c r="V340" s="19">
        <v>45624.38541666666</v>
      </c>
    </row>
    <row r="341" spans="1:22">
      <c r="A341" s="17" t="s">
        <v>129</v>
      </c>
      <c r="B341" s="17" t="s">
        <v>141</v>
      </c>
      <c r="C341" s="17" t="s">
        <v>1576</v>
      </c>
      <c r="D341" s="17" t="s">
        <v>110</v>
      </c>
      <c r="E341" s="18">
        <v>471</v>
      </c>
      <c r="F341" s="17" t="s">
        <v>139</v>
      </c>
      <c r="G341" s="18">
        <v>0</v>
      </c>
      <c r="H341" s="18">
        <v>83</v>
      </c>
      <c r="I341" s="17" t="s">
        <v>1577</v>
      </c>
      <c r="J341" s="17" t="s">
        <v>51</v>
      </c>
      <c r="K341" s="17" t="s">
        <v>352</v>
      </c>
      <c r="L341" s="17" t="s">
        <v>17</v>
      </c>
      <c r="M341" s="17" t="s">
        <v>17</v>
      </c>
      <c r="N341" s="19">
        <v>45621.75</v>
      </c>
      <c r="O341" s="17" t="s">
        <v>132</v>
      </c>
      <c r="P341" s="17" t="s">
        <v>1578</v>
      </c>
      <c r="Q341" s="17" t="s">
        <v>1579</v>
      </c>
      <c r="R341" s="17" t="s">
        <v>99</v>
      </c>
      <c r="S341" s="17" t="s">
        <v>1278</v>
      </c>
      <c r="T341" s="19">
        <v>45621.75347222222</v>
      </c>
      <c r="U341" s="17" t="s">
        <v>1278</v>
      </c>
      <c r="V341" s="19">
        <v>45621.75347222222</v>
      </c>
    </row>
    <row r="342" spans="1:22">
      <c r="A342" s="17" t="s">
        <v>129</v>
      </c>
      <c r="B342" s="17" t="s">
        <v>141</v>
      </c>
      <c r="C342" s="17" t="s">
        <v>1580</v>
      </c>
      <c r="D342" s="17" t="s">
        <v>110</v>
      </c>
      <c r="E342" s="18">
        <v>474</v>
      </c>
      <c r="F342" s="17" t="s">
        <v>139</v>
      </c>
      <c r="G342" s="18">
        <v>0</v>
      </c>
      <c r="H342" s="18">
        <v>77</v>
      </c>
      <c r="I342" s="17" t="s">
        <v>1581</v>
      </c>
      <c r="J342" s="17" t="s">
        <v>46</v>
      </c>
      <c r="K342" s="17" t="s">
        <v>352</v>
      </c>
      <c r="L342" s="17" t="s">
        <v>107</v>
      </c>
      <c r="M342" s="17" t="s">
        <v>12</v>
      </c>
      <c r="N342" s="19">
        <v>45618</v>
      </c>
      <c r="O342" s="17" t="s">
        <v>133</v>
      </c>
      <c r="P342" s="17" t="s">
        <v>1582</v>
      </c>
      <c r="Q342" s="17" t="s">
        <v>1583</v>
      </c>
      <c r="R342" s="17" t="s">
        <v>99</v>
      </c>
      <c r="S342" s="17" t="s">
        <v>1278</v>
      </c>
      <c r="T342" s="19">
        <v>45618.60763888889</v>
      </c>
      <c r="U342" s="17" t="s">
        <v>1278</v>
      </c>
      <c r="V342" s="19">
        <v>45618.60763888889</v>
      </c>
    </row>
    <row r="343" spans="1:22">
      <c r="A343" s="17" t="s">
        <v>129</v>
      </c>
      <c r="B343" s="17" t="s">
        <v>147</v>
      </c>
      <c r="C343" s="17" t="s">
        <v>1584</v>
      </c>
      <c r="D343" s="17" t="s">
        <v>110</v>
      </c>
      <c r="E343" s="18">
        <v>476</v>
      </c>
      <c r="F343" s="17" t="s">
        <v>139</v>
      </c>
      <c r="G343" s="18">
        <v>0</v>
      </c>
      <c r="H343" s="18">
        <v>70</v>
      </c>
      <c r="I343" s="17" t="s">
        <v>1585</v>
      </c>
      <c r="J343" s="17" t="s">
        <v>62</v>
      </c>
      <c r="K343" s="17" t="s">
        <v>697</v>
      </c>
      <c r="L343" s="17" t="s">
        <v>105</v>
      </c>
      <c r="M343" s="17" t="s">
        <v>27</v>
      </c>
      <c r="N343" s="19">
        <v>45616</v>
      </c>
      <c r="O343" s="17" t="s">
        <v>133</v>
      </c>
      <c r="P343" s="17" t="s">
        <v>1586</v>
      </c>
      <c r="Q343" s="17" t="s">
        <v>1587</v>
      </c>
      <c r="R343" s="17" t="s">
        <v>99</v>
      </c>
      <c r="S343" s="17" t="s">
        <v>1278</v>
      </c>
      <c r="T343" s="19">
        <v>45616.94027777778</v>
      </c>
      <c r="U343" s="17" t="s">
        <v>1013</v>
      </c>
      <c r="V343" s="19">
        <v>45652.63125</v>
      </c>
    </row>
    <row r="344" spans="1:22">
      <c r="A344" s="17" t="s">
        <v>129</v>
      </c>
      <c r="B344" s="17" t="s">
        <v>143</v>
      </c>
      <c r="C344" s="17" t="s">
        <v>1588</v>
      </c>
      <c r="D344" s="17" t="s">
        <v>110</v>
      </c>
      <c r="E344" s="18">
        <v>477</v>
      </c>
      <c r="F344" s="17" t="s">
        <v>139</v>
      </c>
      <c r="G344" s="18">
        <v>0</v>
      </c>
      <c r="H344" s="18">
        <v>62</v>
      </c>
      <c r="I344" s="17" t="s">
        <v>1589</v>
      </c>
      <c r="J344" s="17" t="s">
        <v>62</v>
      </c>
      <c r="K344" s="17" t="s">
        <v>360</v>
      </c>
      <c r="L344" s="17" t="s">
        <v>104</v>
      </c>
      <c r="M344" s="17" t="s">
        <v>22</v>
      </c>
      <c r="N344" s="19">
        <v>45615</v>
      </c>
      <c r="O344" s="17" t="s">
        <v>133</v>
      </c>
      <c r="P344" s="17" t="s">
        <v>1590</v>
      </c>
      <c r="Q344" s="17" t="s">
        <v>1591</v>
      </c>
      <c r="R344" s="17" t="s">
        <v>99</v>
      </c>
      <c r="S344" s="17" t="s">
        <v>1278</v>
      </c>
      <c r="T344" s="19">
        <v>45615.45347222222</v>
      </c>
      <c r="U344" s="17" t="s">
        <v>1278</v>
      </c>
      <c r="V344" s="19">
        <v>45615.45347222222</v>
      </c>
    </row>
    <row r="345" spans="1:22">
      <c r="A345" s="17" t="s">
        <v>129</v>
      </c>
      <c r="B345" s="17" t="s">
        <v>141</v>
      </c>
      <c r="C345" s="17" t="s">
        <v>1592</v>
      </c>
      <c r="D345" s="17" t="s">
        <v>110</v>
      </c>
      <c r="E345" s="18">
        <v>483</v>
      </c>
      <c r="F345" s="17" t="s">
        <v>139</v>
      </c>
      <c r="G345" s="18">
        <v>0</v>
      </c>
      <c r="H345" s="18">
        <v>61</v>
      </c>
      <c r="I345" s="17" t="s">
        <v>1593</v>
      </c>
      <c r="J345" s="17" t="s">
        <v>34</v>
      </c>
      <c r="K345" s="17" t="s">
        <v>352</v>
      </c>
      <c r="L345" s="17" t="s">
        <v>104</v>
      </c>
      <c r="M345" s="17" t="s">
        <v>11</v>
      </c>
      <c r="N345" s="19">
        <v>45609.40277777778</v>
      </c>
      <c r="O345" s="17" t="s">
        <v>133</v>
      </c>
      <c r="P345" s="17" t="s">
        <v>1594</v>
      </c>
      <c r="Q345" s="17" t="s">
        <v>1595</v>
      </c>
      <c r="R345" s="17" t="s">
        <v>99</v>
      </c>
      <c r="S345" s="17" t="s">
        <v>1278</v>
      </c>
      <c r="T345" s="19">
        <v>45615.44722222222</v>
      </c>
      <c r="U345" s="17" t="s">
        <v>1278</v>
      </c>
      <c r="V345" s="19">
        <v>45715.69861111111</v>
      </c>
    </row>
    <row r="346" spans="1:22">
      <c r="A346" s="17" t="s">
        <v>130</v>
      </c>
      <c r="B346" s="17" t="s">
        <v>142</v>
      </c>
      <c r="C346" s="17" t="s">
        <v>1596</v>
      </c>
      <c r="D346" s="17" t="s">
        <v>110</v>
      </c>
      <c r="E346" s="18">
        <v>478</v>
      </c>
      <c r="F346" s="17" t="s">
        <v>139</v>
      </c>
      <c r="G346" s="18">
        <v>0</v>
      </c>
      <c r="H346" s="18">
        <v>56</v>
      </c>
      <c r="I346" s="17" t="s">
        <v>1597</v>
      </c>
      <c r="J346" s="17" t="s">
        <v>52</v>
      </c>
      <c r="K346" s="17" t="s">
        <v>553</v>
      </c>
      <c r="L346" s="17" t="s">
        <v>104</v>
      </c>
      <c r="M346" s="17" t="s">
        <v>18</v>
      </c>
      <c r="N346" s="19">
        <v>45614.50694444445</v>
      </c>
      <c r="O346" s="17" t="s">
        <v>133</v>
      </c>
      <c r="P346" s="17" t="s">
        <v>1598</v>
      </c>
      <c r="Q346" s="17" t="s">
        <v>1599</v>
      </c>
      <c r="R346" s="17" t="s">
        <v>99</v>
      </c>
      <c r="S346" s="17" t="s">
        <v>1278</v>
      </c>
      <c r="T346" s="19">
        <v>45614.54305555556</v>
      </c>
      <c r="U346" s="17" t="s">
        <v>1278</v>
      </c>
      <c r="V346" s="19">
        <v>45614.54305555556</v>
      </c>
    </row>
    <row r="347" spans="1:22">
      <c r="A347" s="17" t="s">
        <v>129</v>
      </c>
      <c r="B347" s="17" t="s">
        <v>141</v>
      </c>
      <c r="C347" s="17" t="s">
        <v>1600</v>
      </c>
      <c r="D347" s="17" t="s">
        <v>110</v>
      </c>
      <c r="E347" s="18">
        <v>479</v>
      </c>
      <c r="F347" s="17" t="s">
        <v>139</v>
      </c>
      <c r="G347" s="18">
        <v>0</v>
      </c>
      <c r="H347" s="18">
        <v>52</v>
      </c>
      <c r="I347" s="17" t="s">
        <v>1601</v>
      </c>
      <c r="J347" s="17" t="s">
        <v>62</v>
      </c>
      <c r="K347" s="17" t="s">
        <v>352</v>
      </c>
      <c r="L347" s="17" t="s">
        <v>104</v>
      </c>
      <c r="M347" s="17" t="s">
        <v>8</v>
      </c>
      <c r="N347" s="19">
        <v>45613</v>
      </c>
      <c r="O347" s="17" t="s">
        <v>133</v>
      </c>
      <c r="P347" s="17" t="s">
        <v>1602</v>
      </c>
      <c r="Q347" s="17" t="s">
        <v>1603</v>
      </c>
      <c r="R347" s="17" t="s">
        <v>99</v>
      </c>
      <c r="S347" s="17" t="s">
        <v>1278</v>
      </c>
      <c r="T347" s="19">
        <v>45613.65555555555</v>
      </c>
      <c r="U347" s="17" t="s">
        <v>1278</v>
      </c>
      <c r="V347" s="19">
        <v>45613.65555555555</v>
      </c>
    </row>
    <row r="348" spans="1:22">
      <c r="A348" s="17" t="s">
        <v>130</v>
      </c>
      <c r="B348" s="17" t="s">
        <v>142</v>
      </c>
      <c r="C348" s="17" t="s">
        <v>1604</v>
      </c>
      <c r="D348" s="17" t="s">
        <v>110</v>
      </c>
      <c r="E348" s="18">
        <v>480</v>
      </c>
      <c r="F348" s="17" t="s">
        <v>139</v>
      </c>
      <c r="G348" s="18">
        <v>0</v>
      </c>
      <c r="H348" s="18">
        <v>50</v>
      </c>
      <c r="I348" s="17" t="s">
        <v>1605</v>
      </c>
      <c r="J348" s="17" t="s">
        <v>62</v>
      </c>
      <c r="K348" s="17" t="s">
        <v>365</v>
      </c>
      <c r="L348" s="17" t="s">
        <v>105</v>
      </c>
      <c r="M348" s="17" t="s">
        <v>25</v>
      </c>
      <c r="N348" s="19">
        <v>45612</v>
      </c>
      <c r="O348" s="17" t="s">
        <v>132</v>
      </c>
      <c r="P348" s="17" t="s">
        <v>1606</v>
      </c>
      <c r="Q348" s="17" t="s">
        <v>1607</v>
      </c>
      <c r="R348" s="17" t="s">
        <v>99</v>
      </c>
      <c r="S348" s="17" t="s">
        <v>1278</v>
      </c>
      <c r="T348" s="19">
        <v>45612.5625</v>
      </c>
      <c r="U348" s="17" t="s">
        <v>1278</v>
      </c>
      <c r="V348" s="19">
        <v>45742.76736111111</v>
      </c>
    </row>
    <row r="349" spans="1:22">
      <c r="A349" s="17" t="s">
        <v>130</v>
      </c>
      <c r="B349" s="17" t="s">
        <v>142</v>
      </c>
      <c r="C349" s="17" t="s">
        <v>1604</v>
      </c>
      <c r="D349" s="17" t="s">
        <v>110</v>
      </c>
      <c r="E349" s="18">
        <v>480</v>
      </c>
      <c r="F349" s="17" t="s">
        <v>139</v>
      </c>
      <c r="G349" s="18">
        <v>0</v>
      </c>
      <c r="H349" s="18">
        <v>49</v>
      </c>
      <c r="I349" s="17" t="s">
        <v>1608</v>
      </c>
      <c r="J349" s="17" t="s">
        <v>32</v>
      </c>
      <c r="K349" s="17" t="s">
        <v>484</v>
      </c>
      <c r="L349" s="17" t="s">
        <v>105</v>
      </c>
      <c r="M349" s="17" t="s">
        <v>1</v>
      </c>
      <c r="N349" s="19">
        <v>45612</v>
      </c>
      <c r="O349" s="17" t="s">
        <v>132</v>
      </c>
      <c r="P349" s="17" t="s">
        <v>1609</v>
      </c>
      <c r="Q349" s="17" t="s">
        <v>1610</v>
      </c>
      <c r="R349" s="17" t="s">
        <v>99</v>
      </c>
      <c r="S349" s="17" t="s">
        <v>1278</v>
      </c>
      <c r="T349" s="19">
        <v>45612.54861111111</v>
      </c>
      <c r="U349" s="17" t="s">
        <v>1013</v>
      </c>
      <c r="V349" s="19">
        <v>45742.77430555555</v>
      </c>
    </row>
    <row r="350" spans="1:22">
      <c r="A350" s="17" t="s">
        <v>129</v>
      </c>
      <c r="B350" s="17" t="s">
        <v>141</v>
      </c>
      <c r="C350" s="17" t="s">
        <v>1611</v>
      </c>
      <c r="D350" s="17" t="s">
        <v>110</v>
      </c>
      <c r="E350" s="18">
        <v>482</v>
      </c>
      <c r="F350" s="17" t="s">
        <v>139</v>
      </c>
      <c r="G350" s="18">
        <v>0</v>
      </c>
      <c r="H350" s="18">
        <v>40</v>
      </c>
      <c r="I350" s="17" t="s">
        <v>1612</v>
      </c>
      <c r="J350" s="17" t="s">
        <v>62</v>
      </c>
      <c r="K350" s="17" t="s">
        <v>395</v>
      </c>
      <c r="L350" s="17" t="s">
        <v>106</v>
      </c>
      <c r="M350" s="17" t="s">
        <v>13</v>
      </c>
      <c r="N350" s="19">
        <v>45610</v>
      </c>
      <c r="O350" s="17" t="s">
        <v>133</v>
      </c>
      <c r="P350" s="17" t="s">
        <v>1613</v>
      </c>
      <c r="Q350" s="17" t="s">
        <v>1614</v>
      </c>
      <c r="R350" s="17" t="s">
        <v>99</v>
      </c>
      <c r="S350" s="17" t="s">
        <v>1278</v>
      </c>
      <c r="T350" s="19">
        <v>45610.41527777778</v>
      </c>
      <c r="U350" s="17" t="s">
        <v>1278</v>
      </c>
      <c r="V350" s="19">
        <v>45610.41527777778</v>
      </c>
    </row>
    <row r="351" spans="1:22">
      <c r="A351" s="17" t="s">
        <v>130</v>
      </c>
      <c r="B351" s="17" t="s">
        <v>142</v>
      </c>
      <c r="C351" s="17" t="s">
        <v>1592</v>
      </c>
      <c r="D351" s="17" t="s">
        <v>110</v>
      </c>
      <c r="E351" s="18">
        <v>483</v>
      </c>
      <c r="F351" s="17" t="s">
        <v>139</v>
      </c>
      <c r="G351" s="18">
        <v>0</v>
      </c>
      <c r="H351" s="18">
        <v>39</v>
      </c>
      <c r="I351" s="17" t="s">
        <v>1615</v>
      </c>
      <c r="J351" s="17" t="s">
        <v>73</v>
      </c>
      <c r="K351" s="17" t="s">
        <v>365</v>
      </c>
      <c r="L351" s="17" t="s">
        <v>105</v>
      </c>
      <c r="M351" s="17" t="s">
        <v>23</v>
      </c>
      <c r="N351" s="19">
        <v>45609</v>
      </c>
      <c r="O351" s="17" t="s">
        <v>133</v>
      </c>
      <c r="P351" s="17" t="s">
        <v>1616</v>
      </c>
      <c r="Q351" s="17" t="s">
        <v>1617</v>
      </c>
      <c r="R351" s="17" t="s">
        <v>99</v>
      </c>
      <c r="S351" s="17" t="s">
        <v>1278</v>
      </c>
      <c r="T351" s="19">
        <v>45609.89861111111</v>
      </c>
      <c r="U351" s="17" t="s">
        <v>1278</v>
      </c>
      <c r="V351" s="19">
        <v>45609.89861111111</v>
      </c>
    </row>
    <row r="352" spans="1:22">
      <c r="A352" s="17" t="s">
        <v>129</v>
      </c>
      <c r="B352" s="17" t="s">
        <v>141</v>
      </c>
      <c r="C352" s="17" t="s">
        <v>1592</v>
      </c>
      <c r="D352" s="17" t="s">
        <v>110</v>
      </c>
      <c r="E352" s="18">
        <v>483</v>
      </c>
      <c r="F352" s="17" t="s">
        <v>139</v>
      </c>
      <c r="G352" s="18">
        <v>0</v>
      </c>
      <c r="H352" s="18">
        <v>38</v>
      </c>
      <c r="I352" s="17" t="s">
        <v>1618</v>
      </c>
      <c r="J352" s="17" t="s">
        <v>59</v>
      </c>
      <c r="K352" s="17" t="s">
        <v>240</v>
      </c>
      <c r="L352" s="17" t="s">
        <v>104</v>
      </c>
      <c r="M352" s="17" t="s">
        <v>8</v>
      </c>
      <c r="N352" s="19">
        <v>45609</v>
      </c>
      <c r="O352" s="17" t="s">
        <v>132</v>
      </c>
      <c r="P352" s="17" t="s">
        <v>1619</v>
      </c>
      <c r="Q352" s="17" t="s">
        <v>1620</v>
      </c>
      <c r="R352" s="17" t="s">
        <v>99</v>
      </c>
      <c r="S352" s="17" t="s">
        <v>1278</v>
      </c>
      <c r="T352" s="19">
        <v>45609.85208333333</v>
      </c>
      <c r="U352" s="17" t="s">
        <v>1278</v>
      </c>
      <c r="V352" s="19">
        <v>45609.85208333333</v>
      </c>
    </row>
    <row r="353" spans="1:22">
      <c r="A353" s="17" t="s">
        <v>130</v>
      </c>
      <c r="B353" s="17" t="s">
        <v>142</v>
      </c>
      <c r="C353" s="17" t="s">
        <v>1592</v>
      </c>
      <c r="D353" s="17" t="s">
        <v>110</v>
      </c>
      <c r="E353" s="18">
        <v>483</v>
      </c>
      <c r="F353" s="17" t="s">
        <v>139</v>
      </c>
      <c r="G353" s="18">
        <v>0</v>
      </c>
      <c r="H353" s="18">
        <v>34</v>
      </c>
      <c r="I353" s="17" t="s">
        <v>1621</v>
      </c>
      <c r="J353" s="17" t="s">
        <v>40</v>
      </c>
      <c r="K353" s="17" t="s">
        <v>466</v>
      </c>
      <c r="L353" s="17" t="s">
        <v>104</v>
      </c>
      <c r="M353" s="17"/>
      <c r="N353" s="19">
        <v>45609</v>
      </c>
      <c r="O353" s="17" t="s">
        <v>133</v>
      </c>
      <c r="P353" s="17" t="s">
        <v>1622</v>
      </c>
      <c r="Q353" s="17" t="s">
        <v>1623</v>
      </c>
      <c r="R353" s="17" t="s">
        <v>99</v>
      </c>
      <c r="S353" s="17" t="s">
        <v>1278</v>
      </c>
      <c r="T353" s="19">
        <v>45609.68888888889</v>
      </c>
      <c r="U353" s="17" t="s">
        <v>1278</v>
      </c>
      <c r="V353" s="19">
        <v>45609.68888888889</v>
      </c>
    </row>
    <row r="354" spans="1:22">
      <c r="A354" s="17" t="s">
        <v>129</v>
      </c>
      <c r="B354" s="17" t="s">
        <v>143</v>
      </c>
      <c r="C354" s="17" t="s">
        <v>1624</v>
      </c>
      <c r="D354" s="17" t="s">
        <v>110</v>
      </c>
      <c r="E354" s="18">
        <v>485</v>
      </c>
      <c r="F354" s="17" t="s">
        <v>139</v>
      </c>
      <c r="G354" s="18">
        <v>0</v>
      </c>
      <c r="H354" s="18">
        <v>24</v>
      </c>
      <c r="I354" s="17" t="s">
        <v>1625</v>
      </c>
      <c r="J354" s="17" t="s">
        <v>62</v>
      </c>
      <c r="K354" s="17" t="s">
        <v>451</v>
      </c>
      <c r="L354" s="17" t="s">
        <v>104</v>
      </c>
      <c r="M354" s="17"/>
      <c r="N354" s="19">
        <v>45607</v>
      </c>
      <c r="O354" s="17" t="s">
        <v>132</v>
      </c>
      <c r="P354" s="17" t="s">
        <v>1626</v>
      </c>
      <c r="Q354" s="17" t="s">
        <v>1627</v>
      </c>
      <c r="R354" s="17" t="s">
        <v>99</v>
      </c>
      <c r="S354" s="17" t="s">
        <v>1278</v>
      </c>
      <c r="T354" s="19">
        <v>45607.52916666667</v>
      </c>
      <c r="U354" s="17" t="s">
        <v>1278</v>
      </c>
      <c r="V354" s="19">
        <v>45607.52916666667</v>
      </c>
    </row>
    <row r="355" spans="1:22">
      <c r="A355" s="17" t="s">
        <v>130</v>
      </c>
      <c r="B355" s="17" t="s">
        <v>142</v>
      </c>
      <c r="C355" s="17" t="s">
        <v>1628</v>
      </c>
      <c r="D355" s="17" t="s">
        <v>110</v>
      </c>
      <c r="E355" s="18">
        <v>488</v>
      </c>
      <c r="F355" s="17" t="s">
        <v>139</v>
      </c>
      <c r="G355" s="18">
        <v>0</v>
      </c>
      <c r="H355" s="18">
        <v>18</v>
      </c>
      <c r="I355" s="17" t="s">
        <v>1629</v>
      </c>
      <c r="J355" s="17" t="s">
        <v>73</v>
      </c>
      <c r="K355" s="17" t="s">
        <v>365</v>
      </c>
      <c r="L355" s="17" t="s">
        <v>104</v>
      </c>
      <c r="M355" s="17" t="s">
        <v>22</v>
      </c>
      <c r="N355" s="19">
        <v>45604</v>
      </c>
      <c r="O355" s="17" t="s">
        <v>132</v>
      </c>
      <c r="P355" s="17" t="s">
        <v>1630</v>
      </c>
      <c r="Q355" s="17" t="s">
        <v>1631</v>
      </c>
      <c r="R355" s="17" t="s">
        <v>99</v>
      </c>
      <c r="S355" s="17" t="s">
        <v>1278</v>
      </c>
      <c r="T355" s="19">
        <v>45604.83125</v>
      </c>
      <c r="U355" s="17" t="s">
        <v>1278</v>
      </c>
      <c r="V355" s="19">
        <v>45604.83125</v>
      </c>
    </row>
    <row r="356" spans="1:22">
      <c r="A356" s="17" t="s">
        <v>129</v>
      </c>
      <c r="B356" s="17" t="s">
        <v>141</v>
      </c>
      <c r="C356" s="17" t="s">
        <v>1628</v>
      </c>
      <c r="D356" s="17" t="s">
        <v>110</v>
      </c>
      <c r="E356" s="18">
        <v>488</v>
      </c>
      <c r="F356" s="17" t="s">
        <v>139</v>
      </c>
      <c r="G356" s="18">
        <v>0</v>
      </c>
      <c r="H356" s="18">
        <v>14</v>
      </c>
      <c r="I356" s="17" t="s">
        <v>1632</v>
      </c>
      <c r="J356" s="17" t="s">
        <v>69</v>
      </c>
      <c r="K356" s="17" t="s">
        <v>241</v>
      </c>
      <c r="L356" s="17" t="s">
        <v>104</v>
      </c>
      <c r="M356" s="17" t="s">
        <v>18</v>
      </c>
      <c r="N356" s="19">
        <v>45604.375</v>
      </c>
      <c r="O356" s="17" t="s">
        <v>133</v>
      </c>
      <c r="P356" s="17" t="s">
        <v>1633</v>
      </c>
      <c r="Q356" s="17" t="s">
        <v>1310</v>
      </c>
      <c r="R356" s="17" t="s">
        <v>99</v>
      </c>
      <c r="S356" s="17" t="s">
        <v>1278</v>
      </c>
      <c r="T356" s="19">
        <v>45604.5</v>
      </c>
      <c r="U356" s="17" t="s">
        <v>1278</v>
      </c>
      <c r="V356" s="19">
        <v>45604.5</v>
      </c>
    </row>
  </sheetData>
  <autoFilter ref="A1:V35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_FilterLists</vt:lpstr>
      <vt:lpstr>Dashboard</vt:lpstr>
      <vt:lpstr>Dashboard Formula (Reference)</vt:lpstr>
      <vt:lpstr>Client MOM</vt:lpstr>
      <vt:lpstr>Incidents</vt:lpstr>
      <vt:lpstr>ClientList</vt:lpstr>
      <vt:lpstr>SubCategoryList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2026-03-13T07:23:03Z</dcterms:created>
  <dcterms:modified xsi:type="dcterms:W3CDTF">2026-03-13T07:23:03Z</dcterms:modified>
</cp:coreProperties>
</file>